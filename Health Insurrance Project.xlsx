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esktop\QUANTUM PROJECT\"/>
    </mc:Choice>
  </mc:AlternateContent>
  <bookViews>
    <workbookView xWindow="0" yWindow="0" windowWidth="20490" windowHeight="9045"/>
  </bookViews>
  <sheets>
    <sheet name="Dashboard" sheetId="10" r:id="rId1"/>
    <sheet name="Sheet2" sheetId="3" r:id="rId2"/>
    <sheet name="Sheet3" sheetId="4" r:id="rId3"/>
    <sheet name="Sheet4" sheetId="5" r:id="rId4"/>
    <sheet name="Sheet5" sheetId="6" r:id="rId5"/>
    <sheet name="Sheet6" sheetId="7" r:id="rId6"/>
    <sheet name="Sheet7" sheetId="8" r:id="rId7"/>
    <sheet name="Sheet8" sheetId="9" r:id="rId8"/>
    <sheet name="Health Insurrance" sheetId="1" r:id="rId9"/>
  </sheets>
  <definedNames>
    <definedName name="Slicer_Average_Monthly_Tax_Credit__2016">#N/A</definedName>
    <definedName name="Slicer_State">#N/A</definedName>
    <definedName name="Slicer_State_Medicaid_Expansion__2016">#N/A</definedName>
    <definedName name="Slicer_Uninsured_Rate_Change__2010_2015">#N/A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<sst xmlns="http://schemas.openxmlformats.org/spreadsheetml/2006/main" count="217" uniqueCount="79">
  <si>
    <t>State</t>
  </si>
  <si>
    <t>Uninsured Rate (2010)</t>
  </si>
  <si>
    <t>Uninsured Rate (2015)</t>
  </si>
  <si>
    <t>Uninsured Rate Change (2010-2015)</t>
  </si>
  <si>
    <t>Health Insurance Coverage Change (2010-2015)</t>
  </si>
  <si>
    <t>Employer Health Insurance Coverage (2015)</t>
  </si>
  <si>
    <t>Marketplace Health Insurance Coverage (2016)</t>
  </si>
  <si>
    <t>Marketplace Tax Credits (2016)</t>
  </si>
  <si>
    <t>Average Monthly Tax Credit (2016)</t>
  </si>
  <si>
    <t>State Medicaid Expansion (2016)</t>
  </si>
  <si>
    <t>Medicaid Enrollment (2013)</t>
  </si>
  <si>
    <t>Medicaid Enrollment (2016)</t>
  </si>
  <si>
    <t>Medicaid Enrollment Change (2013-2016)</t>
  </si>
  <si>
    <t>Medicare Enrollment (2016)</t>
  </si>
  <si>
    <t xml:space="preserve">Alabama </t>
  </si>
  <si>
    <t xml:space="preserve">Alaska </t>
  </si>
  <si>
    <t xml:space="preserve">Arizona </t>
  </si>
  <si>
    <t xml:space="preserve">Arkansas </t>
  </si>
  <si>
    <t>California</t>
  </si>
  <si>
    <t>Colorado</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</si>
  <si>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</si>
  <si>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</si>
  <si>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</si>
  <si>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</si>
  <si>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</si>
  <si>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</si>
  <si>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</si>
  <si>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</si>
  <si>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</si>
  <si>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</si>
  <si>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 xml:space="preserve">Kansas </t>
  </si>
  <si>
    <t>Kentucky</t>
  </si>
  <si>
    <t xml:space="preserve">Louisiana </t>
  </si>
  <si>
    <t xml:space="preserve">Maine </t>
  </si>
  <si>
    <t>Maryland</t>
  </si>
  <si>
    <t>Massachusetts</t>
  </si>
  <si>
    <t xml:space="preserve">Michigan </t>
  </si>
  <si>
    <t>Minnesota</t>
  </si>
  <si>
    <t xml:space="preserve">Mississippi </t>
  </si>
  <si>
    <t xml:space="preserve">Missouri </t>
  </si>
  <si>
    <t xml:space="preserve">Montana </t>
  </si>
  <si>
    <t xml:space="preserve">Nebraska </t>
  </si>
  <si>
    <t>Nevada</t>
  </si>
  <si>
    <t xml:space="preserve">New Hampshire </t>
  </si>
  <si>
    <t xml:space="preserve">New Jersey </t>
  </si>
  <si>
    <t>New Mexico</t>
  </si>
  <si>
    <t>New York</t>
  </si>
  <si>
    <t xml:space="preserve">North Carolina </t>
  </si>
  <si>
    <t xml:space="preserve">North Dakota </t>
  </si>
  <si>
    <t xml:space="preserve">Ohio </t>
  </si>
  <si>
    <t xml:space="preserve">Oklahoma </t>
  </si>
  <si>
    <t>Oregon</t>
  </si>
  <si>
    <t xml:space="preserve">Pennsylvania </t>
  </si>
  <si>
    <t>Rhode Island</t>
  </si>
  <si>
    <t xml:space="preserve">South Carolina </t>
  </si>
  <si>
    <t xml:space="preserve">South Dakota </t>
  </si>
  <si>
    <t xml:space="preserve">Tennessee </t>
  </si>
  <si>
    <t xml:space="preserve">Texas </t>
  </si>
  <si>
    <t xml:space="preserve">Utah </t>
  </si>
  <si>
    <t>Vermont</t>
  </si>
  <si>
    <t xml:space="preserve">Virginia </t>
  </si>
  <si>
    <t>Washington</t>
  </si>
  <si>
    <t xml:space="preserve">West Virginia </t>
  </si>
  <si>
    <t xml:space="preserve">Wisconsin </t>
  </si>
  <si>
    <t>Wyoming</t>
  </si>
  <si>
    <t>United States</t>
  </si>
  <si>
    <t>Row Labels</t>
  </si>
  <si>
    <t>Grand Total</t>
  </si>
  <si>
    <t>Sum of Uninsured Rate (2010)</t>
  </si>
  <si>
    <t>Sum of Uninsured Rate (2015)</t>
  </si>
  <si>
    <t>Average of Uninsured Rate Change (2010-2015)</t>
  </si>
  <si>
    <t>TRUE</t>
  </si>
  <si>
    <t>Average of Medicaid Enrollment Change (2013-2016)</t>
  </si>
  <si>
    <t>Sum of Employer Health Insurance Coverage (2015)</t>
  </si>
  <si>
    <t>Sum of Marketplace Health Insurance Coverage (2016)</t>
  </si>
  <si>
    <t>Average of Uninsured Rate (2015)</t>
  </si>
  <si>
    <t>Average of Average Monthly Tax Credit (2016)</t>
  </si>
  <si>
    <t>Average of Credit Usage Rate</t>
  </si>
  <si>
    <t>Average of Medicaid to Medicare Ratio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</si>
</sst>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0" fontId="0" fillId="0" borderId="0" xfId="0" applyNumberFormat="1"/>
    <xf numFmtId="6"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0" formatCode="&quot;$&quot;#,##0_);[Red]\(&quot;$&quot;#,##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Project.xlsx]Sheet2!PivotTable2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ACA's National Impact on Health Insurance Coverage</a:t>
            </a:r>
          </a:p>
        </c:rich>
      </c:tx>
      <c:layout>
        <c:manualLayout>
          <c:xMode val="edge"/>
          <c:yMode val="edge"/>
          <c:x val="0.12795122484689414"/>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Sheet2!$A$3</c:f>
              <c:strCache>
                <c:ptCount val="1"/>
                <c:pt idx="0">
                  <c:v>Sum of Uninsured Rate (2010)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Sheet2!$A$4</c:f>
              <c:strCache>
                <c:ptCount val="1"/>
                <c:pt idx="0">
                  <c:v>Total</c:v>
                </c:pt>
              </c:strCache>
            </c:strRef>
          </c:cat>
          <c:val>
            <c:numRef>
              <c:f>Sheet2!$A$4</c:f>
              <c:numCache>
                <c:formatCode>0.00%</c:formatCode>
                <c:ptCount val="1"/>
                <c:pt idx="0">
                  <c:v>0.155</c:v>
                </c:pt>
              </c:numCache>
            </c:numRef>
          </c:val>
        </c:ser>
        <c:ser>
          <c:idx val="1"/>
          <c:order val="1"/>
          <c:tx>
            <c:strRef>
              <c:f>Sheet2!$B$3</c:f>
              <c:strCache>
                <c:ptCount val="1"/>
                <c:pt idx="0">
                  <c:v>Sum of Uninsured Rate (2015)</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cat>
            <c:strRef>
              <c:f>Sheet2!$A$4</c:f>
              <c:strCache>
                <c:ptCount val="1"/>
                <c:pt idx="0">
                  <c:v>Total</c:v>
                </c:pt>
              </c:strCache>
            </c:strRef>
          </c:cat>
          <c:val>
            <c:numRef>
              <c:f>Sheet2!$B$4</c:f>
              <c:numCache>
                <c:formatCode>0.00%</c:formatCode>
                <c:ptCount val="1"/>
                <c:pt idx="0">
                  <c:v>9.4E-2</c:v>
                </c:pt>
              </c:numCache>
            </c:numRef>
          </c:val>
        </c:ser>
        <c:dLbls>
          <c:showLegendKey val="0"/>
          <c:showVal val="0"/>
          <c:showCatName val="0"/>
          <c:showSerName val="0"/>
          <c:showPercent val="0"/>
          <c:showBubbleSize val="0"/>
        </c:dLbls>
        <c:gapWidth val="150"/>
        <c:shape val="box"/>
        <c:axId val="380283736"/>
        <c:axId val="380270352"/>
        <c:axId val="0"/>
      </c:bar3DChart>
      <c:catAx>
        <c:axId val="380283736"/>
        <c:scaling>
          <c:orientation val="minMax"/>
        </c:scaling>
        <c:delete val="1"/>
        <c:axPos val="b"/>
        <c:numFmt formatCode="General" sourceLinked="1"/>
        <c:majorTickMark val="none"/>
        <c:minorTickMark val="none"/>
        <c:tickLblPos val="nextTo"/>
        <c:crossAx val="380270352"/>
        <c:crosses val="autoZero"/>
        <c:auto val="1"/>
        <c:lblAlgn val="ctr"/>
        <c:lblOffset val="100"/>
        <c:noMultiLvlLbl val="0"/>
      </c:catAx>
      <c:valAx>
        <c:axId val="380270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283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 Insurrance Project.xlsx]Sheet3!PivotTable3</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Decline in Uninsured</a:t>
            </a:r>
            <a:r>
              <a:rPr lang="en-US" baseline="0">
                <a:solidFill>
                  <a:sysClr val="windowText" lastClr="000000"/>
                </a:solidFill>
              </a:rPr>
              <a:t> Rate By State</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Sheet3!$A$4:$A$9</c:f>
              <c:strCache>
                <c:ptCount val="5"/>
                <c:pt idx="0">
                  <c:v>Nevada</c:v>
                </c:pt>
                <c:pt idx="1">
                  <c:v>Oregon</c:v>
                </c:pt>
                <c:pt idx="2">
                  <c:v>California</c:v>
                </c:pt>
                <c:pt idx="3">
                  <c:v>Kentucky</c:v>
                </c:pt>
                <c:pt idx="4">
                  <c:v>New Mexico</c:v>
                </c:pt>
              </c:strCache>
            </c:strRef>
          </c:cat>
          <c:val>
            <c:numRef>
              <c:f>Sheet3!$B$4:$B$9</c:f>
              <c:numCache>
                <c:formatCode>General</c:formatCode>
                <c:ptCount val="5"/>
                <c:pt idx="0">
                  <c:v>-0.10299999999999999</c:v>
                </c:pt>
                <c:pt idx="1">
                  <c:v>-0.10100000000000001</c:v>
                </c:pt>
                <c:pt idx="2">
                  <c:v>-9.9000000000000005E-2</c:v>
                </c:pt>
                <c:pt idx="3">
                  <c:v>-9.2999999999999999E-2</c:v>
                </c:pt>
                <c:pt idx="4">
                  <c:v>-8.6999999999999994E-2</c:v>
                </c:pt>
              </c:numCache>
            </c:numRef>
          </c:val>
        </c:ser>
        <c:dLbls>
          <c:showLegendKey val="0"/>
          <c:showVal val="0"/>
          <c:showCatName val="0"/>
          <c:showSerName val="0"/>
          <c:showPercent val="0"/>
          <c:showBubbleSize val="0"/>
        </c:dLbls>
        <c:gapWidth val="150"/>
        <c:shape val="box"/>
        <c:axId val="380029704"/>
        <c:axId val="380070760"/>
        <c:axId val="0"/>
      </c:bar3DChart>
      <c:catAx>
        <c:axId val="3800297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80070760"/>
        <c:crosses val="autoZero"/>
        <c:auto val="0"/>
        <c:lblAlgn val="ctr"/>
        <c:lblOffset val="100"/>
        <c:noMultiLvlLbl val="0"/>
      </c:catAx>
      <c:valAx>
        <c:axId val="38007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2970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Project.xlsx]Sheet4!PivotTable4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Medicaid Expansion vs. Coverage Gains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Average of Uninsured Rate Change (2010-2015)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Sheet4!$A$4:$A$5</c:f>
              <c:strCache>
                <c:ptCount val="1"/>
                <c:pt idx="0">
                  <c:v>TRUE</c:v>
                </c:pt>
              </c:strCache>
            </c:strRef>
          </c:cat>
          <c:val>
            <c:numRef>
              <c:f>Sheet4!$B$4:$B$5</c:f>
              <c:numCache>
                <c:formatCode>General</c:formatCode>
                <c:ptCount val="1"/>
                <c:pt idx="0">
                  <c:v>-0.05</c:v>
                </c:pt>
              </c:numCache>
            </c:numRef>
          </c:val>
        </c:ser>
        <c:ser>
          <c:idx val="1"/>
          <c:order val="1"/>
          <c:tx>
            <c:strRef>
              <c:f>Sheet4!$C$3</c:f>
              <c:strCache>
                <c:ptCount val="1"/>
                <c:pt idx="0">
                  <c:v>Average of Medicaid Enrollment Change (2013-2016)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Sheet4!$A$4:$A$5</c:f>
              <c:strCache>
                <c:ptCount val="1"/>
                <c:pt idx="0">
                  <c:v>TRUE</c:v>
                </c:pt>
              </c:strCache>
            </c:strRef>
          </c:cat>
          <c:val>
            <c:numRef>
              <c:f>Sheet4!$C$4:$C$5</c:f>
              <c:numCache>
                <c:formatCode>General</c:formatCode>
                <c:ptCount val="1"/>
                <c:pt idx="0">
                  <c:v>44291</c:v>
                </c:pt>
              </c:numCache>
            </c:numRef>
          </c:val>
        </c:ser>
        <c:dLbls>
          <c:showLegendKey val="0"/>
          <c:showVal val="0"/>
          <c:showCatName val="0"/>
          <c:showSerName val="0"/>
          <c:showPercent val="0"/>
          <c:showBubbleSize val="0"/>
        </c:dLbls>
        <c:gapWidth val="150"/>
        <c:shape val="box"/>
        <c:axId val="380093816"/>
        <c:axId val="380155528"/>
        <c:axId val="0"/>
      </c:bar3DChart>
      <c:catAx>
        <c:axId val="3800938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155528"/>
        <c:crosses val="autoZero"/>
        <c:auto val="1"/>
        <c:lblAlgn val="ctr"/>
        <c:lblOffset val="100"/>
        <c:noMultiLvlLbl val="0"/>
      </c:catAx>
      <c:valAx>
        <c:axId val="380155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093816"/>
        <c:crosses val="autoZero"/>
        <c:crossBetween val="between"/>
      </c:valAx>
      <c:spPr>
        <a:noFill/>
        <a:ln>
          <a:noFill/>
        </a:ln>
        <a:effectLst/>
      </c:spPr>
    </c:plotArea>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Project.xlsx]Sheet5!PivotTable5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The Role of Employer vs. Marketplace Coverage</a:t>
            </a:r>
          </a:p>
        </c:rich>
      </c:tx>
      <c:layout>
        <c:manualLayout>
          <c:xMode val="edge"/>
          <c:yMode val="edge"/>
          <c:x val="0.13965700169831713"/>
          <c:y val="3.34028614356458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Sum of Employer Health Insurance Coverage (2015)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Sheet5!$A$4:$A$9</c:f>
              <c:strCache>
                <c:ptCount val="5"/>
                <c:pt idx="0">
                  <c:v>California</c:v>
                </c:pt>
                <c:pt idx="1">
                  <c:v>Florida </c:v>
                </c:pt>
                <c:pt idx="2">
                  <c:v>New York</c:v>
                </c:pt>
                <c:pt idx="3">
                  <c:v>Texas </c:v>
                </c:pt>
                <c:pt idx="4">
                  <c:v>United States</c:v>
                </c:pt>
              </c:strCache>
            </c:strRef>
          </c:cat>
          <c:val>
            <c:numRef>
              <c:f>Sheet5!$B$4:$B$9</c:f>
              <c:numCache>
                <c:formatCode>General</c:formatCode>
                <c:ptCount val="5"/>
                <c:pt idx="0">
                  <c:v>19552000</c:v>
                </c:pt>
                <c:pt idx="1">
                  <c:v>8847000</c:v>
                </c:pt>
                <c:pt idx="2">
                  <c:v>10895000</c:v>
                </c:pt>
                <c:pt idx="3">
                  <c:v>13709000</c:v>
                </c:pt>
                <c:pt idx="4">
                  <c:v>172292000</c:v>
                </c:pt>
              </c:numCache>
            </c:numRef>
          </c:val>
        </c:ser>
        <c:ser>
          <c:idx val="1"/>
          <c:order val="1"/>
          <c:tx>
            <c:strRef>
              <c:f>Sheet5!$C$3</c:f>
              <c:strCache>
                <c:ptCount val="1"/>
                <c:pt idx="0">
                  <c:v>Sum of Marketplace Health Insurance Coverage (2016)</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Sheet5!$A$4:$A$9</c:f>
              <c:strCache>
                <c:ptCount val="5"/>
                <c:pt idx="0">
                  <c:v>California</c:v>
                </c:pt>
                <c:pt idx="1">
                  <c:v>Florida </c:v>
                </c:pt>
                <c:pt idx="2">
                  <c:v>New York</c:v>
                </c:pt>
                <c:pt idx="3">
                  <c:v>Texas </c:v>
                </c:pt>
                <c:pt idx="4">
                  <c:v>United States</c:v>
                </c:pt>
              </c:strCache>
            </c:strRef>
          </c:cat>
          <c:val>
            <c:numRef>
              <c:f>Sheet5!$C$4:$C$9</c:f>
              <c:numCache>
                <c:formatCode>General</c:formatCode>
                <c:ptCount val="5"/>
                <c:pt idx="0">
                  <c:v>1415428</c:v>
                </c:pt>
                <c:pt idx="1">
                  <c:v>1531714</c:v>
                </c:pt>
                <c:pt idx="2">
                  <c:v>224014</c:v>
                </c:pt>
                <c:pt idx="3">
                  <c:v>1092650</c:v>
                </c:pt>
                <c:pt idx="4">
                  <c:v>11081330</c:v>
                </c:pt>
              </c:numCache>
            </c:numRef>
          </c:val>
        </c:ser>
        <c:dLbls>
          <c:showLegendKey val="0"/>
          <c:showVal val="0"/>
          <c:showCatName val="0"/>
          <c:showSerName val="0"/>
          <c:showPercent val="0"/>
          <c:showBubbleSize val="0"/>
        </c:dLbls>
        <c:gapWidth val="150"/>
        <c:shape val="box"/>
        <c:axId val="380089768"/>
        <c:axId val="380858536"/>
        <c:axId val="0"/>
      </c:bar3DChart>
      <c:catAx>
        <c:axId val="380089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80858536"/>
        <c:crosses val="autoZero"/>
        <c:auto val="1"/>
        <c:lblAlgn val="ctr"/>
        <c:lblOffset val="100"/>
        <c:noMultiLvlLbl val="0"/>
      </c:catAx>
      <c:valAx>
        <c:axId val="380858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8008976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Project.xlsx]Sheet6!PivotTable6</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rPr>
              <a:t>Efficieny of Tax Credit By State</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areaChart>
        <c:grouping val="stacked"/>
        <c:varyColors val="0"/>
        <c:ser>
          <c:idx val="0"/>
          <c:order val="0"/>
          <c:tx>
            <c:strRef>
              <c:f>Sheet6!$B$3</c:f>
              <c:strCache>
                <c:ptCount val="1"/>
                <c:pt idx="0">
                  <c:v>Average of Average Monthly Tax Credit (2016)</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Sheet6!$A$4:$A$56</c:f>
              <c:strCache>
                <c:ptCount val="52"/>
                <c:pt idx="0">
                  <c:v>Alabama </c:v>
                </c:pt>
                <c:pt idx="1">
                  <c:v>Alaska </c:v>
                </c:pt>
                <c:pt idx="2">
                  <c:v>Arizona </c:v>
                </c:pt>
                <c:pt idx="3">
                  <c:v>Arkansas </c:v>
                </c:pt>
                <c:pt idx="4">
                  <c:v>California</c:v>
                </c:pt>
                <c:pt idx="5">
                  <c:v>Colorado</c:v>
                </c:pt>
                <c:pt idx="6">
                  <c:v>Connecticut</c:v>
                </c:pt>
                <c:pt idx="7">
                  <c:v>Delaware </c:v>
                </c:pt>
                <c:pt idx="8">
                  <c:v>District of Columbia</c:v>
                </c:pt>
                <c:pt idx="9">
                  <c:v>Florida </c:v>
                </c:pt>
                <c:pt idx="10">
                  <c:v>Georgia </c:v>
                </c:pt>
                <c:pt idx="11">
                  <c:v>Hawaii</c:v>
                </c:pt>
                <c:pt idx="12">
                  <c:v>Idaho</c:v>
                </c:pt>
                <c:pt idx="13">
                  <c:v>Illinois </c:v>
                </c:pt>
                <c:pt idx="14">
                  <c:v>Indiana </c:v>
                </c:pt>
                <c:pt idx="15">
                  <c:v>Iowa </c:v>
                </c:pt>
                <c:pt idx="16">
                  <c:v>Kansas </c:v>
                </c:pt>
                <c:pt idx="17">
                  <c:v>Kentucky</c:v>
                </c:pt>
                <c:pt idx="18">
                  <c:v>Louisiana </c:v>
                </c:pt>
                <c:pt idx="19">
                  <c:v>Maine </c:v>
                </c:pt>
                <c:pt idx="20">
                  <c:v>Maryland</c:v>
                </c:pt>
                <c:pt idx="21">
                  <c:v>Massachusetts</c:v>
                </c:pt>
                <c:pt idx="22">
                  <c:v>Michigan </c:v>
                </c:pt>
                <c:pt idx="23">
                  <c:v>Minnesota</c:v>
                </c:pt>
                <c:pt idx="24">
                  <c:v>Mississippi </c:v>
                </c:pt>
                <c:pt idx="25">
                  <c:v>Missouri </c:v>
                </c:pt>
                <c:pt idx="26">
                  <c:v>Montana </c:v>
                </c:pt>
                <c:pt idx="27">
                  <c:v>Nebraska </c:v>
                </c:pt>
                <c:pt idx="28">
                  <c:v>Nevada</c:v>
                </c:pt>
                <c:pt idx="29">
                  <c:v>New Hampshire </c:v>
                </c:pt>
                <c:pt idx="30">
                  <c:v>New Jersey </c:v>
                </c:pt>
                <c:pt idx="31">
                  <c:v>New Mexico</c:v>
                </c:pt>
                <c:pt idx="32">
                  <c:v>New York</c:v>
                </c:pt>
                <c:pt idx="33">
                  <c:v>North Carolina </c:v>
                </c:pt>
                <c:pt idx="34">
                  <c:v>North Dakota </c:v>
                </c:pt>
                <c:pt idx="35">
                  <c:v>Ohio </c:v>
                </c:pt>
                <c:pt idx="36">
                  <c:v>Oklahoma </c:v>
                </c:pt>
                <c:pt idx="37">
                  <c:v>Oregon</c:v>
                </c:pt>
                <c:pt idx="38">
                  <c:v>Pennsylvania </c:v>
                </c:pt>
                <c:pt idx="39">
                  <c:v>Rhode Island</c:v>
                </c:pt>
                <c:pt idx="40">
                  <c:v>South Carolina </c:v>
                </c:pt>
                <c:pt idx="41">
                  <c:v>South Dakota </c:v>
                </c:pt>
                <c:pt idx="42">
                  <c:v>Tennessee </c:v>
                </c:pt>
                <c:pt idx="43">
                  <c:v>Texas </c:v>
                </c:pt>
                <c:pt idx="44">
                  <c:v>United States</c:v>
                </c:pt>
                <c:pt idx="45">
                  <c:v>Utah </c:v>
                </c:pt>
                <c:pt idx="46">
                  <c:v>Vermont</c:v>
                </c:pt>
                <c:pt idx="47">
                  <c:v>Virginia </c:v>
                </c:pt>
                <c:pt idx="48">
                  <c:v>Washington</c:v>
                </c:pt>
                <c:pt idx="49">
                  <c:v>West Virginia </c:v>
                </c:pt>
                <c:pt idx="50">
                  <c:v>Wisconsin </c:v>
                </c:pt>
                <c:pt idx="51">
                  <c:v>Wyoming</c:v>
                </c:pt>
              </c:strCache>
            </c:strRef>
          </c:cat>
          <c:val>
            <c:numRef>
              <c:f>Sheet6!$B$4:$B$56</c:f>
              <c:numCache>
                <c:formatCode>General</c:formatCode>
                <c:ptCount val="52"/>
                <c:pt idx="0">
                  <c:v>310</c:v>
                </c:pt>
                <c:pt idx="1">
                  <c:v>750</c:v>
                </c:pt>
                <c:pt idx="2">
                  <c:v>230</c:v>
                </c:pt>
                <c:pt idx="3">
                  <c:v>306</c:v>
                </c:pt>
                <c:pt idx="4">
                  <c:v>309</c:v>
                </c:pt>
                <c:pt idx="5">
                  <c:v>318</c:v>
                </c:pt>
                <c:pt idx="6">
                  <c:v>357</c:v>
                </c:pt>
                <c:pt idx="7">
                  <c:v>330</c:v>
                </c:pt>
                <c:pt idx="8">
                  <c:v>183</c:v>
                </c:pt>
                <c:pt idx="9">
                  <c:v>305</c:v>
                </c:pt>
                <c:pt idx="10">
                  <c:v>291</c:v>
                </c:pt>
                <c:pt idx="11">
                  <c:v>270</c:v>
                </c:pt>
                <c:pt idx="12">
                  <c:v>265</c:v>
                </c:pt>
                <c:pt idx="13">
                  <c:v>237</c:v>
                </c:pt>
                <c:pt idx="14">
                  <c:v>259</c:v>
                </c:pt>
                <c:pt idx="15">
                  <c:v>307</c:v>
                </c:pt>
                <c:pt idx="16">
                  <c:v>247</c:v>
                </c:pt>
                <c:pt idx="17">
                  <c:v>258</c:v>
                </c:pt>
                <c:pt idx="18">
                  <c:v>362</c:v>
                </c:pt>
                <c:pt idx="19">
                  <c:v>342</c:v>
                </c:pt>
                <c:pt idx="20">
                  <c:v>243</c:v>
                </c:pt>
                <c:pt idx="21">
                  <c:v>190</c:v>
                </c:pt>
                <c:pt idx="22">
                  <c:v>233</c:v>
                </c:pt>
                <c:pt idx="23">
                  <c:v>203</c:v>
                </c:pt>
                <c:pt idx="24">
                  <c:v>306</c:v>
                </c:pt>
                <c:pt idx="25">
                  <c:v>315</c:v>
                </c:pt>
                <c:pt idx="26">
                  <c:v>306</c:v>
                </c:pt>
                <c:pt idx="27">
                  <c:v>296</c:v>
                </c:pt>
                <c:pt idx="28">
                  <c:v>268</c:v>
                </c:pt>
                <c:pt idx="29">
                  <c:v>261</c:v>
                </c:pt>
                <c:pt idx="30">
                  <c:v>322</c:v>
                </c:pt>
                <c:pt idx="31">
                  <c:v>212</c:v>
                </c:pt>
                <c:pt idx="32">
                  <c:v>178</c:v>
                </c:pt>
                <c:pt idx="33">
                  <c:v>401</c:v>
                </c:pt>
                <c:pt idx="34">
                  <c:v>262</c:v>
                </c:pt>
                <c:pt idx="35">
                  <c:v>250</c:v>
                </c:pt>
                <c:pt idx="36">
                  <c:v>298</c:v>
                </c:pt>
                <c:pt idx="37">
                  <c:v>253</c:v>
                </c:pt>
                <c:pt idx="38">
                  <c:v>248</c:v>
                </c:pt>
                <c:pt idx="39">
                  <c:v>250</c:v>
                </c:pt>
                <c:pt idx="40">
                  <c:v>312</c:v>
                </c:pt>
                <c:pt idx="41">
                  <c:v>307</c:v>
                </c:pt>
                <c:pt idx="42">
                  <c:v>299</c:v>
                </c:pt>
                <c:pt idx="43">
                  <c:v>271</c:v>
                </c:pt>
                <c:pt idx="44">
                  <c:v>291</c:v>
                </c:pt>
                <c:pt idx="45">
                  <c:v>187</c:v>
                </c:pt>
                <c:pt idx="46">
                  <c:v>300</c:v>
                </c:pt>
                <c:pt idx="47">
                  <c:v>276</c:v>
                </c:pt>
                <c:pt idx="48">
                  <c:v>238</c:v>
                </c:pt>
                <c:pt idx="49">
                  <c:v>388</c:v>
                </c:pt>
                <c:pt idx="50">
                  <c:v>332</c:v>
                </c:pt>
                <c:pt idx="51">
                  <c:v>459</c:v>
                </c:pt>
              </c:numCache>
            </c:numRef>
          </c:val>
        </c:ser>
        <c:ser>
          <c:idx val="1"/>
          <c:order val="1"/>
          <c:tx>
            <c:strRef>
              <c:f>Sheet6!$C$3</c:f>
              <c:strCache>
                <c:ptCount val="1"/>
                <c:pt idx="0">
                  <c:v>Average of Credit Usage Rate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Sheet6!$A$4:$A$56</c:f>
              <c:strCache>
                <c:ptCount val="52"/>
                <c:pt idx="0">
                  <c:v>Alabama </c:v>
                </c:pt>
                <c:pt idx="1">
                  <c:v>Alaska </c:v>
                </c:pt>
                <c:pt idx="2">
                  <c:v>Arizona </c:v>
                </c:pt>
                <c:pt idx="3">
                  <c:v>Arkansas </c:v>
                </c:pt>
                <c:pt idx="4">
                  <c:v>California</c:v>
                </c:pt>
                <c:pt idx="5">
                  <c:v>Colorado</c:v>
                </c:pt>
                <c:pt idx="6">
                  <c:v>Connecticut</c:v>
                </c:pt>
                <c:pt idx="7">
                  <c:v>Delaware </c:v>
                </c:pt>
                <c:pt idx="8">
                  <c:v>District of Columbia</c:v>
                </c:pt>
                <c:pt idx="9">
                  <c:v>Florida </c:v>
                </c:pt>
                <c:pt idx="10">
                  <c:v>Georgia </c:v>
                </c:pt>
                <c:pt idx="11">
                  <c:v>Hawaii</c:v>
                </c:pt>
                <c:pt idx="12">
                  <c:v>Idaho</c:v>
                </c:pt>
                <c:pt idx="13">
                  <c:v>Illinois </c:v>
                </c:pt>
                <c:pt idx="14">
                  <c:v>Indiana </c:v>
                </c:pt>
                <c:pt idx="15">
                  <c:v>Iowa </c:v>
                </c:pt>
                <c:pt idx="16">
                  <c:v>Kansas </c:v>
                </c:pt>
                <c:pt idx="17">
                  <c:v>Kentucky</c:v>
                </c:pt>
                <c:pt idx="18">
                  <c:v>Louisiana </c:v>
                </c:pt>
                <c:pt idx="19">
                  <c:v>Maine </c:v>
                </c:pt>
                <c:pt idx="20">
                  <c:v>Maryland</c:v>
                </c:pt>
                <c:pt idx="21">
                  <c:v>Massachusetts</c:v>
                </c:pt>
                <c:pt idx="22">
                  <c:v>Michigan </c:v>
                </c:pt>
                <c:pt idx="23">
                  <c:v>Minnesota</c:v>
                </c:pt>
                <c:pt idx="24">
                  <c:v>Mississippi </c:v>
                </c:pt>
                <c:pt idx="25">
                  <c:v>Missouri </c:v>
                </c:pt>
                <c:pt idx="26">
                  <c:v>Montana </c:v>
                </c:pt>
                <c:pt idx="27">
                  <c:v>Nebraska </c:v>
                </c:pt>
                <c:pt idx="28">
                  <c:v>Nevada</c:v>
                </c:pt>
                <c:pt idx="29">
                  <c:v>New Hampshire </c:v>
                </c:pt>
                <c:pt idx="30">
                  <c:v>New Jersey </c:v>
                </c:pt>
                <c:pt idx="31">
                  <c:v>New Mexico</c:v>
                </c:pt>
                <c:pt idx="32">
                  <c:v>New York</c:v>
                </c:pt>
                <c:pt idx="33">
                  <c:v>North Carolina </c:v>
                </c:pt>
                <c:pt idx="34">
                  <c:v>North Dakota </c:v>
                </c:pt>
                <c:pt idx="35">
                  <c:v>Ohio </c:v>
                </c:pt>
                <c:pt idx="36">
                  <c:v>Oklahoma </c:v>
                </c:pt>
                <c:pt idx="37">
                  <c:v>Oregon</c:v>
                </c:pt>
                <c:pt idx="38">
                  <c:v>Pennsylvania </c:v>
                </c:pt>
                <c:pt idx="39">
                  <c:v>Rhode Island</c:v>
                </c:pt>
                <c:pt idx="40">
                  <c:v>South Carolina </c:v>
                </c:pt>
                <c:pt idx="41">
                  <c:v>South Dakota </c:v>
                </c:pt>
                <c:pt idx="42">
                  <c:v>Tennessee </c:v>
                </c:pt>
                <c:pt idx="43">
                  <c:v>Texas </c:v>
                </c:pt>
                <c:pt idx="44">
                  <c:v>United States</c:v>
                </c:pt>
                <c:pt idx="45">
                  <c:v>Utah </c:v>
                </c:pt>
                <c:pt idx="46">
                  <c:v>Vermont</c:v>
                </c:pt>
                <c:pt idx="47">
                  <c:v>Virginia </c:v>
                </c:pt>
                <c:pt idx="48">
                  <c:v>Washington</c:v>
                </c:pt>
                <c:pt idx="49">
                  <c:v>West Virginia </c:v>
                </c:pt>
                <c:pt idx="50">
                  <c:v>Wisconsin </c:v>
                </c:pt>
                <c:pt idx="51">
                  <c:v>Wyoming</c:v>
                </c:pt>
              </c:strCache>
            </c:strRef>
          </c:cat>
          <c:val>
            <c:numRef>
              <c:f>Sheet6!$C$4:$C$56</c:f>
              <c:numCache>
                <c:formatCode>0.0%</c:formatCode>
                <c:ptCount val="52"/>
                <c:pt idx="0">
                  <c:v>0.91948481882876021</c:v>
                </c:pt>
                <c:pt idx="1">
                  <c:v>0.90052792442345098</c:v>
                </c:pt>
                <c:pt idx="2">
                  <c:v>0.69294769985232241</c:v>
                </c:pt>
                <c:pt idx="3">
                  <c:v>0.89718578846851971</c:v>
                </c:pt>
                <c:pt idx="4">
                  <c:v>0.87598450786617188</c:v>
                </c:pt>
                <c:pt idx="5">
                  <c:v>0.61916148867612708</c:v>
                </c:pt>
                <c:pt idx="6">
                  <c:v>0.78470029246868833</c:v>
                </c:pt>
                <c:pt idx="7">
                  <c:v>0.84585681074904451</c:v>
                </c:pt>
                <c:pt idx="8">
                  <c:v>6.9285633420129056E-2</c:v>
                </c:pt>
                <c:pt idx="9">
                  <c:v>0.93275376473675897</c:v>
                </c:pt>
                <c:pt idx="10">
                  <c:v>0.89401400789931718</c:v>
                </c:pt>
                <c:pt idx="11">
                  <c:v>0.8231052354841133</c:v>
                </c:pt>
                <c:pt idx="12">
                  <c:v>0.87834942187334253</c:v>
                </c:pt>
                <c:pt idx="13">
                  <c:v>0.77466494453277179</c:v>
                </c:pt>
                <c:pt idx="14">
                  <c:v>0.82563771582861611</c:v>
                </c:pt>
                <c:pt idx="15">
                  <c:v>0.87019142372673597</c:v>
                </c:pt>
                <c:pt idx="16">
                  <c:v>0.84647075899336799</c:v>
                </c:pt>
                <c:pt idx="17">
                  <c:v>0.7568060021436227</c:v>
                </c:pt>
                <c:pt idx="18">
                  <c:v>0.92626475708095857</c:v>
                </c:pt>
                <c:pt idx="19">
                  <c:v>0.84922913343965978</c:v>
                </c:pt>
                <c:pt idx="20">
                  <c:v>0.74584344121649604</c:v>
                </c:pt>
                <c:pt idx="21">
                  <c:v>0.76163691755061047</c:v>
                </c:pt>
                <c:pt idx="22">
                  <c:v>0.87850461320311823</c:v>
                </c:pt>
                <c:pt idx="23">
                  <c:v>0.63821226032946254</c:v>
                </c:pt>
                <c:pt idx="24">
                  <c:v>0.94210709094884693</c:v>
                </c:pt>
                <c:pt idx="25">
                  <c:v>0.89618479313135802</c:v>
                </c:pt>
                <c:pt idx="26">
                  <c:v>0.85186831021291398</c:v>
                </c:pt>
                <c:pt idx="27">
                  <c:v>0.89874459252240912</c:v>
                </c:pt>
                <c:pt idx="28">
                  <c:v>0.89478691972557467</c:v>
                </c:pt>
                <c:pt idx="29">
                  <c:v>0.63425907073339582</c:v>
                </c:pt>
                <c:pt idx="30">
                  <c:v>0.82295956214037969</c:v>
                </c:pt>
                <c:pt idx="31">
                  <c:v>0.68852769648609391</c:v>
                </c:pt>
                <c:pt idx="32">
                  <c:v>0.55277795137803887</c:v>
                </c:pt>
                <c:pt idx="33">
                  <c:v>0.9153283922002956</c:v>
                </c:pt>
                <c:pt idx="34">
                  <c:v>0.85849240358395018</c:v>
                </c:pt>
                <c:pt idx="35">
                  <c:v>0.82268941644737459</c:v>
                </c:pt>
                <c:pt idx="36">
                  <c:v>0.86964771313125111</c:v>
                </c:pt>
                <c:pt idx="37">
                  <c:v>0.72813283829011866</c:v>
                </c:pt>
                <c:pt idx="38">
                  <c:v>0.77930723395586732</c:v>
                </c:pt>
                <c:pt idx="39">
                  <c:v>0.84352078239608796</c:v>
                </c:pt>
                <c:pt idx="40">
                  <c:v>0.90968337189888993</c:v>
                </c:pt>
                <c:pt idx="41">
                  <c:v>0.89531288143868504</c:v>
                </c:pt>
                <c:pt idx="42">
                  <c:v>0.87659739755292287</c:v>
                </c:pt>
                <c:pt idx="43">
                  <c:v>0.83574520660778839</c:v>
                </c:pt>
                <c:pt idx="44">
                  <c:v>0.84733592447837935</c:v>
                </c:pt>
                <c:pt idx="45">
                  <c:v>0.88366633214731016</c:v>
                </c:pt>
                <c:pt idx="46">
                  <c:v>0.70204066994225878</c:v>
                </c:pt>
                <c:pt idx="47">
                  <c:v>0.84222807638093322</c:v>
                </c:pt>
                <c:pt idx="48">
                  <c:v>0.69813264242156148</c:v>
                </c:pt>
                <c:pt idx="49">
                  <c:v>0.87747856175718364</c:v>
                </c:pt>
                <c:pt idx="50">
                  <c:v>0.84984478698351529</c:v>
                </c:pt>
                <c:pt idx="51">
                  <c:v>0.92013951802862837</c:v>
                </c:pt>
              </c:numCache>
            </c:numRef>
          </c:val>
        </c:ser>
        <c:dLbls>
          <c:showLegendKey val="0"/>
          <c:showVal val="0"/>
          <c:showCatName val="0"/>
          <c:showSerName val="0"/>
          <c:showPercent val="0"/>
          <c:showBubbleSize val="0"/>
        </c:dLbls>
        <c:axId val="380599608"/>
        <c:axId val="380601960"/>
      </c:areaChart>
      <c:catAx>
        <c:axId val="380599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0601960"/>
        <c:crosses val="autoZero"/>
        <c:auto val="1"/>
        <c:lblAlgn val="ctr"/>
        <c:lblOffset val="100"/>
        <c:noMultiLvlLbl val="0"/>
      </c:catAx>
      <c:valAx>
        <c:axId val="380601960"/>
        <c:scaling>
          <c:orientation val="minMax"/>
          <c:min val="0"/>
        </c:scaling>
        <c:delete val="0"/>
        <c:axPos val="l"/>
        <c:numFmt formatCode="General" sourceLinked="1"/>
        <c:majorTickMark val="none"/>
        <c:minorTickMark val="none"/>
        <c:tickLblPos val="nextTo"/>
        <c:spPr>
          <a:noFill/>
          <a:ln>
            <a:noFill/>
          </a:ln>
          <a:effectLst/>
        </c:spPr>
        <c:txPr>
          <a:bodyPr rot="12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80599608"/>
        <c:crosses val="autoZero"/>
        <c:crossBetween val="midCat"/>
      </c:valAx>
      <c:spPr>
        <a:noFill/>
        <a:ln>
          <a:noFill/>
        </a:ln>
        <a:effectLst/>
      </c:spPr>
    </c:plotArea>
    <c:legend>
      <c:legendPos val="r"/>
      <c:layout>
        <c:manualLayout>
          <c:xMode val="edge"/>
          <c:yMode val="edge"/>
          <c:x val="0.69118773946360157"/>
          <c:y val="0.32905541827227547"/>
          <c:w val="0.29042145593869734"/>
          <c:h val="0.41330641839352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Project.xlsx]Sheet7!PivotTable7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Average of Uninsured Rate (2015) By State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425042636983961E-2"/>
          <c:y val="0.14474982537881198"/>
          <c:w val="0.73555535165719454"/>
          <c:h val="0.73512800585829885"/>
        </c:manualLayout>
      </c:layout>
      <c:pie3DChart>
        <c:varyColors val="1"/>
        <c:ser>
          <c:idx val="0"/>
          <c:order val="0"/>
          <c:tx>
            <c:strRef>
              <c:f>Sheet7!$B$3</c:f>
              <c:strCache>
                <c:ptCount val="1"/>
                <c:pt idx="0">
                  <c:v>Average of Uninsured Rate (2015)</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Sheet7!$A$4:$A$14</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Sheet7!$B$4:$B$14</c:f>
              <c:numCache>
                <c:formatCode>General</c:formatCode>
                <c:ptCount val="10"/>
                <c:pt idx="0">
                  <c:v>0.14899999999999999</c:v>
                </c:pt>
                <c:pt idx="1">
                  <c:v>0.13300000000000001</c:v>
                </c:pt>
                <c:pt idx="2">
                  <c:v>0.13900000000000001</c:v>
                </c:pt>
                <c:pt idx="3">
                  <c:v>0.11899999999999999</c:v>
                </c:pt>
                <c:pt idx="4">
                  <c:v>0.127</c:v>
                </c:pt>
                <c:pt idx="5">
                  <c:v>0.11600000000000001</c:v>
                </c:pt>
                <c:pt idx="6">
                  <c:v>0.123</c:v>
                </c:pt>
                <c:pt idx="7">
                  <c:v>0.13900000000000001</c:v>
                </c:pt>
                <c:pt idx="8">
                  <c:v>0.17100000000000001</c:v>
                </c:pt>
                <c:pt idx="9">
                  <c:v>0.115</c:v>
                </c:pt>
              </c:numCache>
            </c:numRef>
          </c:val>
        </c:ser>
        <c:ser>
          <c:idx val="1"/>
          <c:order val="1"/>
          <c:tx>
            <c:strRef>
              <c:f>Sheet7!$C$3</c:f>
              <c:strCache>
                <c:ptCount val="1"/>
                <c:pt idx="0">
                  <c:v>Average of Uninsured Rate Change (2010-2015)</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Sheet7!$A$4:$A$14</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Sheet7!$C$4:$C$14</c:f>
              <c:numCache>
                <c:formatCode>General</c:formatCode>
                <c:ptCount val="10"/>
                <c:pt idx="0">
                  <c:v>-0.05</c:v>
                </c:pt>
                <c:pt idx="1">
                  <c:v>-0.08</c:v>
                </c:pt>
                <c:pt idx="2">
                  <c:v>-5.8000000000000003E-2</c:v>
                </c:pt>
                <c:pt idx="3">
                  <c:v>-5.8999999999999997E-2</c:v>
                </c:pt>
                <c:pt idx="4">
                  <c:v>-5.5E-2</c:v>
                </c:pt>
                <c:pt idx="5">
                  <c:v>-5.7000000000000002E-2</c:v>
                </c:pt>
                <c:pt idx="6">
                  <c:v>-0.10299999999999999</c:v>
                </c:pt>
                <c:pt idx="7">
                  <c:v>-0.05</c:v>
                </c:pt>
                <c:pt idx="8">
                  <c:v>-6.6000000000000003E-2</c:v>
                </c:pt>
                <c:pt idx="9">
                  <c:v>-3.4000000000000002E-2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Project.xlsx]Sheet8!PivotTable8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Average Medicare Ratio By State</a:t>
            </a:r>
          </a:p>
        </c:rich>
      </c:tx>
      <c:layout>
        <c:manualLayout>
          <c:xMode val="edge"/>
          <c:yMode val="edge"/>
          <c:x val="0.14086954347213188"/>
          <c:y val="3.02549860312717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Sheet8!$B$3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c:spPr>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dPt>
          <c:cat>
            <c:strRef>
              <c:f>Sheet8!$A$4:$A$56</c:f>
              <c:strCache>
                <c:ptCount val="52"/>
                <c:pt idx="0">
                  <c:v>Alabama </c:v>
                </c:pt>
                <c:pt idx="1">
                  <c:v>Alaska </c:v>
                </c:pt>
                <c:pt idx="2">
                  <c:v>Arizona </c:v>
                </c:pt>
                <c:pt idx="3">
                  <c:v>Arkansas </c:v>
                </c:pt>
                <c:pt idx="4">
                  <c:v>California</c:v>
                </c:pt>
                <c:pt idx="5">
                  <c:v>Colorado</c:v>
                </c:pt>
                <c:pt idx="6">
                  <c:v>Connecticut</c:v>
                </c:pt>
                <c:pt idx="7">
                  <c:v>Delaware </c:v>
                </c:pt>
                <c:pt idx="8">
                  <c:v>District of Columbia</c:v>
                </c:pt>
                <c:pt idx="9">
                  <c:v>Florida </c:v>
                </c:pt>
                <c:pt idx="10">
                  <c:v>Georgia </c:v>
                </c:pt>
                <c:pt idx="11">
                  <c:v>Hawaii</c:v>
                </c:pt>
                <c:pt idx="12">
                  <c:v>Idaho</c:v>
                </c:pt>
                <c:pt idx="13">
                  <c:v>Illinois </c:v>
                </c:pt>
                <c:pt idx="14">
                  <c:v>Indiana </c:v>
                </c:pt>
                <c:pt idx="15">
                  <c:v>Iowa </c:v>
                </c:pt>
                <c:pt idx="16">
                  <c:v>Kansas </c:v>
                </c:pt>
                <c:pt idx="17">
                  <c:v>Kentucky</c:v>
                </c:pt>
                <c:pt idx="18">
                  <c:v>Louisiana </c:v>
                </c:pt>
                <c:pt idx="19">
                  <c:v>Maine </c:v>
                </c:pt>
                <c:pt idx="20">
                  <c:v>Maryland</c:v>
                </c:pt>
                <c:pt idx="21">
                  <c:v>Massachusetts</c:v>
                </c:pt>
                <c:pt idx="22">
                  <c:v>Michigan </c:v>
                </c:pt>
                <c:pt idx="23">
                  <c:v>Minnesota</c:v>
                </c:pt>
                <c:pt idx="24">
                  <c:v>Mississippi </c:v>
                </c:pt>
                <c:pt idx="25">
                  <c:v>Missouri </c:v>
                </c:pt>
                <c:pt idx="26">
                  <c:v>Montana </c:v>
                </c:pt>
                <c:pt idx="27">
                  <c:v>Nebraska </c:v>
                </c:pt>
                <c:pt idx="28">
                  <c:v>Nevada</c:v>
                </c:pt>
                <c:pt idx="29">
                  <c:v>New Hampshire </c:v>
                </c:pt>
                <c:pt idx="30">
                  <c:v>New Jersey </c:v>
                </c:pt>
                <c:pt idx="31">
                  <c:v>New Mexico</c:v>
                </c:pt>
                <c:pt idx="32">
                  <c:v>New York</c:v>
                </c:pt>
                <c:pt idx="33">
                  <c:v>North Carolina </c:v>
                </c:pt>
                <c:pt idx="34">
                  <c:v>North Dakota </c:v>
                </c:pt>
                <c:pt idx="35">
                  <c:v>Ohio </c:v>
                </c:pt>
                <c:pt idx="36">
                  <c:v>Oklahoma </c:v>
                </c:pt>
                <c:pt idx="37">
                  <c:v>Oregon</c:v>
                </c:pt>
                <c:pt idx="38">
                  <c:v>Pennsylvania </c:v>
                </c:pt>
                <c:pt idx="39">
                  <c:v>Rhode Island</c:v>
                </c:pt>
                <c:pt idx="40">
                  <c:v>South Carolina </c:v>
                </c:pt>
                <c:pt idx="41">
                  <c:v>South Dakota </c:v>
                </c:pt>
                <c:pt idx="42">
                  <c:v>Tennessee </c:v>
                </c:pt>
                <c:pt idx="43">
                  <c:v>Texas </c:v>
                </c:pt>
                <c:pt idx="44">
                  <c:v>United States</c:v>
                </c:pt>
                <c:pt idx="45">
                  <c:v>Utah </c:v>
                </c:pt>
                <c:pt idx="46">
                  <c:v>Vermont</c:v>
                </c:pt>
                <c:pt idx="47">
                  <c:v>Virginia </c:v>
                </c:pt>
                <c:pt idx="48">
                  <c:v>Washington</c:v>
                </c:pt>
                <c:pt idx="49">
                  <c:v>West Virginia </c:v>
                </c:pt>
                <c:pt idx="50">
                  <c:v>Wisconsin </c:v>
                </c:pt>
                <c:pt idx="51">
                  <c:v>Wyoming</c:v>
                </c:pt>
              </c:strCache>
            </c:strRef>
          </c:cat>
          <c:val>
            <c:numRef>
              <c:f>Sheet8!$B$4:$B$56</c:f>
              <c:numCache>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Project.xlsx]Sheet2!PivotTable2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ACA's National Impact on Health Insurance Coverage</a:t>
            </a:r>
          </a:p>
        </c:rich>
      </c:tx>
      <c:layout>
        <c:manualLayout>
          <c:xMode val="edge"/>
          <c:yMode val="edge"/>
          <c:x val="0.12795122484689414"/>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Sheet2!$A$3</c:f>
              <c:strCache>
                <c:ptCount val="1"/>
                <c:pt idx="0">
                  <c:v>Sum of Uninsured Rate (2010)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Sheet2!$A$4</c:f>
              <c:strCache>
                <c:ptCount val="1"/>
                <c:pt idx="0">
                  <c:v>Total</c:v>
                </c:pt>
              </c:strCache>
            </c:strRef>
          </c:cat>
          <c:val>
            <c:numRef>
              <c:f>Sheet2!$A$4</c:f>
              <c:numCache>
                <c:formatCode>0.00%</c:formatCode>
                <c:ptCount val="1"/>
                <c:pt idx="0">
                  <c:v>0.155</c:v>
                </c:pt>
              </c:numCache>
            </c:numRef>
          </c:val>
        </c:ser>
        <c:ser>
          <c:idx val="1"/>
          <c:order val="1"/>
          <c:tx>
            <c:strRef>
              <c:f>Sheet2!$B$3</c:f>
              <c:strCache>
                <c:ptCount val="1"/>
                <c:pt idx="0">
                  <c:v>Sum of Uninsured Rate (2015)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Sheet2!$A$4</c:f>
              <c:strCache>
                <c:ptCount val="1"/>
                <c:pt idx="0">
                  <c:v>Total</c:v>
                </c:pt>
              </c:strCache>
            </c:strRef>
          </c:cat>
          <c:val>
            <c:numRef>
              <c:f>Sheet2!$B$4</c:f>
              <c:numCache>
                <c:formatCode>0.00%</c:formatCode>
                <c:ptCount val="1"/>
                <c:pt idx="0">
                  <c:v>9.4E-2</c:v>
                </c:pt>
              </c:numCache>
            </c:numRef>
          </c:val>
        </c:ser>
        <c:dLbls>
          <c:showLegendKey val="0"/>
          <c:showVal val="0"/>
          <c:showCatName val="0"/>
          <c:showSerName val="0"/>
          <c:showPercent val="0"/>
          <c:showBubbleSize val="0"/>
        </c:dLbls>
        <c:gapWidth val="150"/>
        <c:shape val="box"/>
        <c:axId val="380596080"/>
        <c:axId val="380598040"/>
        <c:axId val="0"/>
      </c:bar3DChart>
      <c:catAx>
        <c:axId val="3805960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598040"/>
        <c:crosses val="autoZero"/>
        <c:auto val="1"/>
        <c:lblAlgn val="ctr"/>
        <c:lblOffset val="100"/>
        <c:noMultiLvlLbl val="0"/>
      </c:catAx>
      <c:valAx>
        <c:axId val="3805980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596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Project.xlsx]Sheet3!PivotTable3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Decline in Uninsured</a:t>
            </a:r>
            <a:r>
              <a:rPr lang="en-US" baseline="0"/>
              <a:t> Rate By State</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Sheet3!$A$4:$A$9</c:f>
              <c:strCache>
                <c:ptCount val="5"/>
                <c:pt idx="0">
                  <c:v>Nevada</c:v>
                </c:pt>
                <c:pt idx="1">
                  <c:v>Oregon</c:v>
                </c:pt>
                <c:pt idx="2">
                  <c:v>California</c:v>
                </c:pt>
                <c:pt idx="3">
                  <c:v>Kentucky</c:v>
                </c:pt>
                <c:pt idx="4">
                  <c:v>New Mexico</c:v>
                </c:pt>
              </c:strCache>
            </c:strRef>
          </c:cat>
          <c:val>
            <c:numRef>
              <c:f>Sheet3!$B$4:$B$9</c:f>
              <c:numCache>
                <c:formatCode>General</c:formatCode>
                <c:ptCount val="5"/>
                <c:pt idx="0">
                  <c:v>-0.10299999999999999</c:v>
                </c:pt>
                <c:pt idx="1">
                  <c:v>-0.10100000000000001</c:v>
                </c:pt>
                <c:pt idx="2">
                  <c:v>-9.9000000000000005E-2</c:v>
                </c:pt>
                <c:pt idx="3">
                  <c:v>-9.2999999999999999E-2</c:v>
                </c:pt>
                <c:pt idx="4">
                  <c:v>-8.6999999999999994E-2</c:v>
                </c:pt>
              </c:numCache>
            </c:numRef>
          </c:val>
        </c:ser>
        <c:dLbls>
          <c:showLegendKey val="0"/>
          <c:showVal val="0"/>
          <c:showCatName val="0"/>
          <c:showSerName val="0"/>
          <c:showPercent val="0"/>
          <c:showBubbleSize val="0"/>
        </c:dLbls>
        <c:gapWidth val="150"/>
        <c:shape val="box"/>
        <c:axId val="380600392"/>
        <c:axId val="380600784"/>
        <c:axId val="0"/>
      </c:bar3DChart>
      <c:catAx>
        <c:axId val="38060039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00784"/>
        <c:crosses val="autoZero"/>
        <c:auto val="0"/>
        <c:lblAlgn val="ctr"/>
        <c:lblOffset val="100"/>
        <c:noMultiLvlLbl val="0"/>
      </c:catAx>
      <c:valAx>
        <c:axId val="380600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00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Project.xlsx]Sheet4!PivotTable4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Medicaid Expansion vs. Coverage Gains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Average of Uninsured Rate Change (2010-2015)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Sheet4!$A$4:$A$5</c:f>
              <c:strCache>
                <c:ptCount val="1"/>
                <c:pt idx="0">
                  <c:v>TRUE</c:v>
                </c:pt>
              </c:strCache>
            </c:strRef>
          </c:cat>
          <c:val>
            <c:numRef>
              <c:f>Sheet4!$B$4:$B$5</c:f>
              <c:numCache>
                <c:formatCode>General</c:formatCode>
                <c:ptCount val="1"/>
                <c:pt idx="0">
                  <c:v>-0.05</c:v>
                </c:pt>
              </c:numCache>
            </c:numRef>
          </c:val>
        </c:ser>
        <c:ser>
          <c:idx val="1"/>
          <c:order val="1"/>
          <c:tx>
            <c:strRef>
              <c:f>Sheet4!$C$3</c:f>
              <c:strCache>
                <c:ptCount val="1"/>
                <c:pt idx="0">
                  <c:v>Average of Medicaid Enrollment Change (2013-2016)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Sheet4!$A$4:$A$5</c:f>
              <c:strCache>
                <c:ptCount val="1"/>
                <c:pt idx="0">
                  <c:v>TRUE</c:v>
                </c:pt>
              </c:strCache>
            </c:strRef>
          </c:cat>
          <c:val>
            <c:numRef>
              <c:f>Sheet4!$C$4:$C$5</c:f>
              <c:numCache>
                <c:formatCode>General</c:formatCode>
                <c:ptCount val="1"/>
                <c:pt idx="0">
                  <c:v>44291</c:v>
                </c:pt>
              </c:numCache>
            </c:numRef>
          </c:val>
        </c:ser>
        <c:dLbls>
          <c:showLegendKey val="0"/>
          <c:showVal val="0"/>
          <c:showCatName val="0"/>
          <c:showSerName val="0"/>
          <c:showPercent val="0"/>
          <c:showBubbleSize val="0"/>
        </c:dLbls>
        <c:gapWidth val="150"/>
        <c:shape val="box"/>
        <c:axId val="380603136"/>
        <c:axId val="380596472"/>
        <c:axId val="0"/>
      </c:bar3DChart>
      <c:catAx>
        <c:axId val="3806031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596472"/>
        <c:crosses val="autoZero"/>
        <c:auto val="1"/>
        <c:lblAlgn val="ctr"/>
        <c:lblOffset val="100"/>
        <c:noMultiLvlLbl val="0"/>
      </c:catAx>
      <c:valAx>
        <c:axId val="380596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0603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Project.xlsx]Sheet5!PivotTable5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The Role of Employer vs. Marketplace Coverage</a:t>
            </a:r>
          </a:p>
        </c:rich>
      </c:tx>
      <c:layout>
        <c:manualLayout>
          <c:xMode val="edge"/>
          <c:yMode val="edge"/>
          <c:x val="0.14279416565466629"/>
          <c:y val="3.34029154345140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Sum of Employer Health Insurance Coverage (2015)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Sheet5!$A$4:$A$9</c:f>
              <c:strCache>
                <c:ptCount val="5"/>
                <c:pt idx="0">
                  <c:v>California</c:v>
                </c:pt>
                <c:pt idx="1">
                  <c:v>Florida </c:v>
                </c:pt>
                <c:pt idx="2">
                  <c:v>New York</c:v>
                </c:pt>
                <c:pt idx="3">
                  <c:v>Texas </c:v>
                </c:pt>
                <c:pt idx="4">
                  <c:v>United States</c:v>
                </c:pt>
              </c:strCache>
            </c:strRef>
          </c:cat>
          <c:val>
            <c:numRef>
              <c:f>Sheet5!$B$4:$B$9</c:f>
              <c:numCache>
                <c:formatCode>General</c:formatCode>
                <c:ptCount val="5"/>
                <c:pt idx="0">
                  <c:v>19552000</c:v>
                </c:pt>
                <c:pt idx="1">
                  <c:v>8847000</c:v>
                </c:pt>
                <c:pt idx="2">
                  <c:v>10895000</c:v>
                </c:pt>
                <c:pt idx="3">
                  <c:v>13709000</c:v>
                </c:pt>
                <c:pt idx="4">
                  <c:v>172292000</c:v>
                </c:pt>
              </c:numCache>
            </c:numRef>
          </c:val>
        </c:ser>
        <c:ser>
          <c:idx val="1"/>
          <c:order val="1"/>
          <c:tx>
            <c:strRef>
              <c:f>Sheet5!$C$3</c:f>
              <c:strCache>
                <c:ptCount val="1"/>
                <c:pt idx="0">
                  <c:v>Sum of Marketplace Health Insurance Coverage (2016)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Sheet5!$A$4:$A$9</c:f>
              <c:strCache>
                <c:ptCount val="5"/>
                <c:pt idx="0">
                  <c:v>California</c:v>
                </c:pt>
                <c:pt idx="1">
                  <c:v>Florida </c:v>
                </c:pt>
                <c:pt idx="2">
                  <c:v>New York</c:v>
                </c:pt>
                <c:pt idx="3">
                  <c:v>Texas </c:v>
                </c:pt>
                <c:pt idx="4">
                  <c:v>United States</c:v>
                </c:pt>
              </c:strCache>
            </c:strRef>
          </c:cat>
          <c:val>
            <c:numRef>
              <c:f>Sheet5!$C$4:$C$9</c:f>
              <c:numCache>
                <c:formatCode>General</c:formatCode>
                <c:ptCount val="5"/>
                <c:pt idx="0">
                  <c:v>1415428</c:v>
                </c:pt>
                <c:pt idx="1">
                  <c:v>1531714</c:v>
                </c:pt>
                <c:pt idx="2">
                  <c:v>224014</c:v>
                </c:pt>
                <c:pt idx="3">
                  <c:v>1092650</c:v>
                </c:pt>
                <c:pt idx="4">
                  <c:v>11081330</c:v>
                </c:pt>
              </c:numCache>
            </c:numRef>
          </c:val>
        </c:ser>
        <c:dLbls>
          <c:showLegendKey val="0"/>
          <c:showVal val="0"/>
          <c:showCatName val="0"/>
          <c:showSerName val="0"/>
          <c:showPercent val="0"/>
          <c:showBubbleSize val="0"/>
        </c:dLbls>
        <c:gapWidth val="150"/>
        <c:shape val="box"/>
        <c:axId val="380597256"/>
        <c:axId val="380597648"/>
        <c:axId val="0"/>
      </c:bar3DChart>
      <c:catAx>
        <c:axId val="380597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97648"/>
        <c:crosses val="autoZero"/>
        <c:auto val="1"/>
        <c:lblAlgn val="ctr"/>
        <c:lblOffset val="100"/>
        <c:noMultiLvlLbl val="0"/>
      </c:catAx>
      <c:valAx>
        <c:axId val="38059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97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Project.xlsx]Sheet6!PivotTable6</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rPr>
              <a:t>Efficieny of Tax Credit By State</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areaChart>
        <c:grouping val="stacked"/>
        <c:varyColors val="0"/>
        <c:ser>
          <c:idx val="0"/>
          <c:order val="0"/>
          <c:tx>
            <c:strRef>
              <c:f>Sheet6!$B$3</c:f>
              <c:strCache>
                <c:ptCount val="1"/>
                <c:pt idx="0">
                  <c:v>Average of Average Monthly Tax Credit (2016)</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Sheet6!$A$4:$A$56</c:f>
              <c:strCache>
                <c:ptCount val="52"/>
                <c:pt idx="0">
                  <c:v>Alabama </c:v>
                </c:pt>
                <c:pt idx="1">
                  <c:v>Alaska </c:v>
                </c:pt>
                <c:pt idx="2">
                  <c:v>Arizona </c:v>
                </c:pt>
                <c:pt idx="3">
                  <c:v>Arkansas </c:v>
                </c:pt>
                <c:pt idx="4">
                  <c:v>California</c:v>
                </c:pt>
                <c:pt idx="5">
                  <c:v>Colorado</c:v>
                </c:pt>
                <c:pt idx="6">
                  <c:v>Connecticut</c:v>
                </c:pt>
                <c:pt idx="7">
                  <c:v>Delaware </c:v>
                </c:pt>
                <c:pt idx="8">
                  <c:v>District of Columbia</c:v>
                </c:pt>
                <c:pt idx="9">
                  <c:v>Florida </c:v>
                </c:pt>
                <c:pt idx="10">
                  <c:v>Georgia </c:v>
                </c:pt>
                <c:pt idx="11">
                  <c:v>Hawaii</c:v>
                </c:pt>
                <c:pt idx="12">
                  <c:v>Idaho</c:v>
                </c:pt>
                <c:pt idx="13">
                  <c:v>Illinois </c:v>
                </c:pt>
                <c:pt idx="14">
                  <c:v>Indiana </c:v>
                </c:pt>
                <c:pt idx="15">
                  <c:v>Iowa </c:v>
                </c:pt>
                <c:pt idx="16">
                  <c:v>Kansas </c:v>
                </c:pt>
                <c:pt idx="17">
                  <c:v>Kentucky</c:v>
                </c:pt>
                <c:pt idx="18">
                  <c:v>Louisiana </c:v>
                </c:pt>
                <c:pt idx="19">
                  <c:v>Maine </c:v>
                </c:pt>
                <c:pt idx="20">
                  <c:v>Maryland</c:v>
                </c:pt>
                <c:pt idx="21">
                  <c:v>Massachusetts</c:v>
                </c:pt>
                <c:pt idx="22">
                  <c:v>Michigan </c:v>
                </c:pt>
                <c:pt idx="23">
                  <c:v>Minnesota</c:v>
                </c:pt>
                <c:pt idx="24">
                  <c:v>Mississippi </c:v>
                </c:pt>
                <c:pt idx="25">
                  <c:v>Missouri </c:v>
                </c:pt>
                <c:pt idx="26">
                  <c:v>Montana </c:v>
                </c:pt>
                <c:pt idx="27">
                  <c:v>Nebraska </c:v>
                </c:pt>
                <c:pt idx="28">
                  <c:v>Nevada</c:v>
                </c:pt>
                <c:pt idx="29">
                  <c:v>New Hampshire </c:v>
                </c:pt>
                <c:pt idx="30">
                  <c:v>New Jersey </c:v>
                </c:pt>
                <c:pt idx="31">
                  <c:v>New Mexico</c:v>
                </c:pt>
                <c:pt idx="32">
                  <c:v>New York</c:v>
                </c:pt>
                <c:pt idx="33">
                  <c:v>North Carolina </c:v>
                </c:pt>
                <c:pt idx="34">
                  <c:v>North Dakota </c:v>
                </c:pt>
                <c:pt idx="35">
                  <c:v>Ohio </c:v>
                </c:pt>
                <c:pt idx="36">
                  <c:v>Oklahoma </c:v>
                </c:pt>
                <c:pt idx="37">
                  <c:v>Oregon</c:v>
                </c:pt>
                <c:pt idx="38">
                  <c:v>Pennsylvania </c:v>
                </c:pt>
                <c:pt idx="39">
                  <c:v>Rhode Island</c:v>
                </c:pt>
                <c:pt idx="40">
                  <c:v>South Carolina </c:v>
                </c:pt>
                <c:pt idx="41">
                  <c:v>South Dakota </c:v>
                </c:pt>
                <c:pt idx="42">
                  <c:v>Tennessee </c:v>
                </c:pt>
                <c:pt idx="43">
                  <c:v>Texas </c:v>
                </c:pt>
                <c:pt idx="44">
                  <c:v>United States</c:v>
                </c:pt>
                <c:pt idx="45">
                  <c:v>Utah </c:v>
                </c:pt>
                <c:pt idx="46">
                  <c:v>Vermont</c:v>
                </c:pt>
                <c:pt idx="47">
                  <c:v>Virginia </c:v>
                </c:pt>
                <c:pt idx="48">
                  <c:v>Washington</c:v>
                </c:pt>
                <c:pt idx="49">
                  <c:v>West Virginia </c:v>
                </c:pt>
                <c:pt idx="50">
                  <c:v>Wisconsin </c:v>
                </c:pt>
                <c:pt idx="51">
                  <c:v>Wyoming</c:v>
                </c:pt>
              </c:strCache>
            </c:strRef>
          </c:cat>
          <c:val>
            <c:numRef>
              <c:f>Sheet6!$B$4:$B$56</c:f>
              <c:numCache>
                <c:formatCode>General</c:formatCode>
                <c:ptCount val="52"/>
                <c:pt idx="0">
                  <c:v>310</c:v>
                </c:pt>
                <c:pt idx="1">
                  <c:v>750</c:v>
                </c:pt>
                <c:pt idx="2">
                  <c:v>230</c:v>
                </c:pt>
                <c:pt idx="3">
                  <c:v>306</c:v>
                </c:pt>
                <c:pt idx="4">
                  <c:v>309</c:v>
                </c:pt>
                <c:pt idx="5">
                  <c:v>318</c:v>
                </c:pt>
                <c:pt idx="6">
                  <c:v>357</c:v>
                </c:pt>
                <c:pt idx="7">
                  <c:v>330</c:v>
                </c:pt>
                <c:pt idx="8">
                  <c:v>183</c:v>
                </c:pt>
                <c:pt idx="9">
                  <c:v>305</c:v>
                </c:pt>
                <c:pt idx="10">
                  <c:v>291</c:v>
                </c:pt>
                <c:pt idx="11">
                  <c:v>270</c:v>
                </c:pt>
                <c:pt idx="12">
                  <c:v>265</c:v>
                </c:pt>
                <c:pt idx="13">
                  <c:v>237</c:v>
                </c:pt>
                <c:pt idx="14">
                  <c:v>259</c:v>
                </c:pt>
                <c:pt idx="15">
                  <c:v>307</c:v>
                </c:pt>
                <c:pt idx="16">
                  <c:v>247</c:v>
                </c:pt>
                <c:pt idx="17">
                  <c:v>258</c:v>
                </c:pt>
                <c:pt idx="18">
                  <c:v>362</c:v>
                </c:pt>
                <c:pt idx="19">
                  <c:v>342</c:v>
                </c:pt>
                <c:pt idx="20">
                  <c:v>243</c:v>
                </c:pt>
                <c:pt idx="21">
                  <c:v>190</c:v>
                </c:pt>
                <c:pt idx="22">
                  <c:v>233</c:v>
                </c:pt>
                <c:pt idx="23">
                  <c:v>203</c:v>
                </c:pt>
                <c:pt idx="24">
                  <c:v>306</c:v>
                </c:pt>
                <c:pt idx="25">
                  <c:v>315</c:v>
                </c:pt>
                <c:pt idx="26">
                  <c:v>306</c:v>
                </c:pt>
                <c:pt idx="27">
                  <c:v>296</c:v>
                </c:pt>
                <c:pt idx="28">
                  <c:v>268</c:v>
                </c:pt>
                <c:pt idx="29">
                  <c:v>261</c:v>
                </c:pt>
                <c:pt idx="30">
                  <c:v>322</c:v>
                </c:pt>
                <c:pt idx="31">
                  <c:v>212</c:v>
                </c:pt>
                <c:pt idx="32">
                  <c:v>178</c:v>
                </c:pt>
                <c:pt idx="33">
                  <c:v>401</c:v>
                </c:pt>
                <c:pt idx="34">
                  <c:v>262</c:v>
                </c:pt>
                <c:pt idx="35">
                  <c:v>250</c:v>
                </c:pt>
                <c:pt idx="36">
                  <c:v>298</c:v>
                </c:pt>
                <c:pt idx="37">
                  <c:v>253</c:v>
                </c:pt>
                <c:pt idx="38">
                  <c:v>248</c:v>
                </c:pt>
                <c:pt idx="39">
                  <c:v>250</c:v>
                </c:pt>
                <c:pt idx="40">
                  <c:v>312</c:v>
                </c:pt>
                <c:pt idx="41">
                  <c:v>307</c:v>
                </c:pt>
                <c:pt idx="42">
                  <c:v>299</c:v>
                </c:pt>
                <c:pt idx="43">
                  <c:v>271</c:v>
                </c:pt>
                <c:pt idx="44">
                  <c:v>291</c:v>
                </c:pt>
                <c:pt idx="45">
                  <c:v>187</c:v>
                </c:pt>
                <c:pt idx="46">
                  <c:v>300</c:v>
                </c:pt>
                <c:pt idx="47">
                  <c:v>276</c:v>
                </c:pt>
                <c:pt idx="48">
                  <c:v>238</c:v>
                </c:pt>
                <c:pt idx="49">
                  <c:v>388</c:v>
                </c:pt>
                <c:pt idx="50">
                  <c:v>332</c:v>
                </c:pt>
                <c:pt idx="51">
                  <c:v>459</c:v>
                </c:pt>
              </c:numCache>
            </c:numRef>
          </c:val>
        </c:ser>
        <c:ser>
          <c:idx val="1"/>
          <c:order val="1"/>
          <c:tx>
            <c:strRef>
              <c:f>Sheet6!$C$3</c:f>
              <c:strCache>
                <c:ptCount val="1"/>
                <c:pt idx="0">
                  <c:v>Average of Credit Usage Rate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Sheet6!$A$4:$A$56</c:f>
              <c:strCache>
                <c:ptCount val="52"/>
                <c:pt idx="0">
                  <c:v>Alabama </c:v>
                </c:pt>
                <c:pt idx="1">
                  <c:v>Alaska </c:v>
                </c:pt>
                <c:pt idx="2">
                  <c:v>Arizona </c:v>
                </c:pt>
                <c:pt idx="3">
                  <c:v>Arkansas </c:v>
                </c:pt>
                <c:pt idx="4">
                  <c:v>California</c:v>
                </c:pt>
                <c:pt idx="5">
                  <c:v>Colorado</c:v>
                </c:pt>
                <c:pt idx="6">
                  <c:v>Connecticut</c:v>
                </c:pt>
                <c:pt idx="7">
                  <c:v>Delaware </c:v>
                </c:pt>
                <c:pt idx="8">
                  <c:v>District of Columbia</c:v>
                </c:pt>
                <c:pt idx="9">
                  <c:v>Florida </c:v>
                </c:pt>
                <c:pt idx="10">
                  <c:v>Georgia </c:v>
                </c:pt>
                <c:pt idx="11">
                  <c:v>Hawaii</c:v>
                </c:pt>
                <c:pt idx="12">
                  <c:v>Idaho</c:v>
                </c:pt>
                <c:pt idx="13">
                  <c:v>Illinois </c:v>
                </c:pt>
                <c:pt idx="14">
                  <c:v>Indiana </c:v>
                </c:pt>
                <c:pt idx="15">
                  <c:v>Iowa </c:v>
                </c:pt>
                <c:pt idx="16">
                  <c:v>Kansas </c:v>
                </c:pt>
                <c:pt idx="17">
                  <c:v>Kentucky</c:v>
                </c:pt>
                <c:pt idx="18">
                  <c:v>Louisiana </c:v>
                </c:pt>
                <c:pt idx="19">
                  <c:v>Maine </c:v>
                </c:pt>
                <c:pt idx="20">
                  <c:v>Maryland</c:v>
                </c:pt>
                <c:pt idx="21">
                  <c:v>Massachusetts</c:v>
                </c:pt>
                <c:pt idx="22">
                  <c:v>Michigan </c:v>
                </c:pt>
                <c:pt idx="23">
                  <c:v>Minnesota</c:v>
                </c:pt>
                <c:pt idx="24">
                  <c:v>Mississippi </c:v>
                </c:pt>
                <c:pt idx="25">
                  <c:v>Missouri </c:v>
                </c:pt>
                <c:pt idx="26">
                  <c:v>Montana </c:v>
                </c:pt>
                <c:pt idx="27">
                  <c:v>Nebraska </c:v>
                </c:pt>
                <c:pt idx="28">
                  <c:v>Nevada</c:v>
                </c:pt>
                <c:pt idx="29">
                  <c:v>New Hampshire </c:v>
                </c:pt>
                <c:pt idx="30">
                  <c:v>New Jersey </c:v>
                </c:pt>
                <c:pt idx="31">
                  <c:v>New Mexico</c:v>
                </c:pt>
                <c:pt idx="32">
                  <c:v>New York</c:v>
                </c:pt>
                <c:pt idx="33">
                  <c:v>North Carolina </c:v>
                </c:pt>
                <c:pt idx="34">
                  <c:v>North Dakota </c:v>
                </c:pt>
                <c:pt idx="35">
                  <c:v>Ohio </c:v>
                </c:pt>
                <c:pt idx="36">
                  <c:v>Oklahoma </c:v>
                </c:pt>
                <c:pt idx="37">
                  <c:v>Oregon</c:v>
                </c:pt>
                <c:pt idx="38">
                  <c:v>Pennsylvania </c:v>
                </c:pt>
                <c:pt idx="39">
                  <c:v>Rhode Island</c:v>
                </c:pt>
                <c:pt idx="40">
                  <c:v>South Carolina </c:v>
                </c:pt>
                <c:pt idx="41">
                  <c:v>South Dakota </c:v>
                </c:pt>
                <c:pt idx="42">
                  <c:v>Tennessee </c:v>
                </c:pt>
                <c:pt idx="43">
                  <c:v>Texas </c:v>
                </c:pt>
                <c:pt idx="44">
                  <c:v>United States</c:v>
                </c:pt>
                <c:pt idx="45">
                  <c:v>Utah </c:v>
                </c:pt>
                <c:pt idx="46">
                  <c:v>Vermont</c:v>
                </c:pt>
                <c:pt idx="47">
                  <c:v>Virginia </c:v>
                </c:pt>
                <c:pt idx="48">
                  <c:v>Washington</c:v>
                </c:pt>
                <c:pt idx="49">
                  <c:v>West Virginia </c:v>
                </c:pt>
                <c:pt idx="50">
                  <c:v>Wisconsin </c:v>
                </c:pt>
                <c:pt idx="51">
                  <c:v>Wyoming</c:v>
                </c:pt>
              </c:strCache>
            </c:strRef>
          </c:cat>
          <c:val>
            <c:numRef>
              <c:f>Sheet6!$C$4:$C$56</c:f>
              <c:numCache>
                <c:formatCode>0.0%</c:formatCode>
                <c:ptCount val="52"/>
                <c:pt idx="0">
                  <c:v>0.91948481882876021</c:v>
                </c:pt>
                <c:pt idx="1">
                  <c:v>0.90052792442345098</c:v>
                </c:pt>
                <c:pt idx="2">
                  <c:v>0.69294769985232241</c:v>
                </c:pt>
                <c:pt idx="3">
                  <c:v>0.89718578846851971</c:v>
                </c:pt>
                <c:pt idx="4">
                  <c:v>0.87598450786617188</c:v>
                </c:pt>
                <c:pt idx="5">
                  <c:v>0.61916148867612708</c:v>
                </c:pt>
                <c:pt idx="6">
                  <c:v>0.78470029246868833</c:v>
                </c:pt>
                <c:pt idx="7">
                  <c:v>0.84585681074904451</c:v>
                </c:pt>
                <c:pt idx="8">
                  <c:v>6.9285633420129056E-2</c:v>
                </c:pt>
                <c:pt idx="9">
                  <c:v>0.93275376473675897</c:v>
                </c:pt>
                <c:pt idx="10">
                  <c:v>0.89401400789931718</c:v>
                </c:pt>
                <c:pt idx="11">
                  <c:v>0.8231052354841133</c:v>
                </c:pt>
                <c:pt idx="12">
                  <c:v>0.87834942187334253</c:v>
                </c:pt>
                <c:pt idx="13">
                  <c:v>0.77466494453277179</c:v>
                </c:pt>
                <c:pt idx="14">
                  <c:v>0.82563771582861611</c:v>
                </c:pt>
                <c:pt idx="15">
                  <c:v>0.87019142372673597</c:v>
                </c:pt>
                <c:pt idx="16">
                  <c:v>0.84647075899336799</c:v>
                </c:pt>
                <c:pt idx="17">
                  <c:v>0.7568060021436227</c:v>
                </c:pt>
                <c:pt idx="18">
                  <c:v>0.92626475708095857</c:v>
                </c:pt>
                <c:pt idx="19">
                  <c:v>0.84922913343965978</c:v>
                </c:pt>
                <c:pt idx="20">
                  <c:v>0.74584344121649604</c:v>
                </c:pt>
                <c:pt idx="21">
                  <c:v>0.76163691755061047</c:v>
                </c:pt>
                <c:pt idx="22">
                  <c:v>0.87850461320311823</c:v>
                </c:pt>
                <c:pt idx="23">
                  <c:v>0.63821226032946254</c:v>
                </c:pt>
                <c:pt idx="24">
                  <c:v>0.94210709094884693</c:v>
                </c:pt>
                <c:pt idx="25">
                  <c:v>0.89618479313135802</c:v>
                </c:pt>
                <c:pt idx="26">
                  <c:v>0.85186831021291398</c:v>
                </c:pt>
                <c:pt idx="27">
                  <c:v>0.89874459252240912</c:v>
                </c:pt>
                <c:pt idx="28">
                  <c:v>0.89478691972557467</c:v>
                </c:pt>
                <c:pt idx="29">
                  <c:v>0.63425907073339582</c:v>
                </c:pt>
                <c:pt idx="30">
                  <c:v>0.82295956214037969</c:v>
                </c:pt>
                <c:pt idx="31">
                  <c:v>0.68852769648609391</c:v>
                </c:pt>
                <c:pt idx="32">
                  <c:v>0.55277795137803887</c:v>
                </c:pt>
                <c:pt idx="33">
                  <c:v>0.9153283922002956</c:v>
                </c:pt>
                <c:pt idx="34">
                  <c:v>0.85849240358395018</c:v>
                </c:pt>
                <c:pt idx="35">
                  <c:v>0.82268941644737459</c:v>
                </c:pt>
                <c:pt idx="36">
                  <c:v>0.86964771313125111</c:v>
                </c:pt>
                <c:pt idx="37">
                  <c:v>0.72813283829011866</c:v>
                </c:pt>
                <c:pt idx="38">
                  <c:v>0.77930723395586732</c:v>
                </c:pt>
                <c:pt idx="39">
                  <c:v>0.84352078239608796</c:v>
                </c:pt>
                <c:pt idx="40">
                  <c:v>0.90968337189888993</c:v>
                </c:pt>
                <c:pt idx="41">
                  <c:v>0.89531288143868504</c:v>
                </c:pt>
                <c:pt idx="42">
                  <c:v>0.87659739755292287</c:v>
                </c:pt>
                <c:pt idx="43">
                  <c:v>0.83574520660778839</c:v>
                </c:pt>
                <c:pt idx="44">
                  <c:v>0.84733592447837935</c:v>
                </c:pt>
                <c:pt idx="45">
                  <c:v>0.88366633214731016</c:v>
                </c:pt>
                <c:pt idx="46">
                  <c:v>0.70204066994225878</c:v>
                </c:pt>
                <c:pt idx="47">
                  <c:v>0.84222807638093322</c:v>
                </c:pt>
                <c:pt idx="48">
                  <c:v>0.69813264242156148</c:v>
                </c:pt>
                <c:pt idx="49">
                  <c:v>0.87747856175718364</c:v>
                </c:pt>
                <c:pt idx="50">
                  <c:v>0.84984478698351529</c:v>
                </c:pt>
                <c:pt idx="51">
                  <c:v>0.92013951802862837</c:v>
                </c:pt>
              </c:numCache>
            </c:numRef>
          </c:val>
        </c:ser>
        <c:dLbls>
          <c:showLegendKey val="0"/>
          <c:showVal val="0"/>
          <c:showCatName val="0"/>
          <c:showSerName val="0"/>
          <c:showPercent val="0"/>
          <c:showBubbleSize val="0"/>
        </c:dLbls>
        <c:axId val="380599216"/>
        <c:axId val="380601176"/>
      </c:areaChart>
      <c:catAx>
        <c:axId val="380599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0601176"/>
        <c:crosses val="autoZero"/>
        <c:auto val="1"/>
        <c:lblAlgn val="ctr"/>
        <c:lblOffset val="100"/>
        <c:noMultiLvlLbl val="0"/>
      </c:catAx>
      <c:valAx>
        <c:axId val="3806011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12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8059921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Project.xlsx]Sheet7!PivotTable7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Average of Uninsured Rate (2015) By State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Average of Uninsured Rate (2015)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Sheet7!$A$4:$A$14</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Sheet7!$B$4:$B$14</c:f>
              <c:numCache>
                <c:formatCode>General</c:formatCode>
                <c:ptCount val="10"/>
                <c:pt idx="0">
                  <c:v>0.14899999999999999</c:v>
                </c:pt>
                <c:pt idx="1">
                  <c:v>0.13300000000000001</c:v>
                </c:pt>
                <c:pt idx="2">
                  <c:v>0.13900000000000001</c:v>
                </c:pt>
                <c:pt idx="3">
                  <c:v>0.11899999999999999</c:v>
                </c:pt>
                <c:pt idx="4">
                  <c:v>0.127</c:v>
                </c:pt>
                <c:pt idx="5">
                  <c:v>0.11600000000000001</c:v>
                </c:pt>
                <c:pt idx="6">
                  <c:v>0.123</c:v>
                </c:pt>
                <c:pt idx="7">
                  <c:v>0.13900000000000001</c:v>
                </c:pt>
                <c:pt idx="8">
                  <c:v>0.17100000000000001</c:v>
                </c:pt>
                <c:pt idx="9">
                  <c:v>0.115</c:v>
                </c:pt>
              </c:numCache>
            </c:numRef>
          </c:val>
        </c:ser>
        <c:ser>
          <c:idx val="1"/>
          <c:order val="1"/>
          <c:tx>
            <c:strRef>
              <c:f>Sheet7!$C$3</c:f>
              <c:strCache>
                <c:ptCount val="1"/>
                <c:pt idx="0">
                  <c:v>Average of Uninsured Rate Change (2010-2015)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Sheet7!$A$4:$A$14</c:f>
              <c:strCache>
                <c:ptCount val="10"/>
                <c:pt idx="0">
                  <c:v>Alaska </c:v>
                </c:pt>
                <c:pt idx="1">
                  <c:v>Florida </c:v>
                </c:pt>
                <c:pt idx="2">
                  <c:v>Georgia </c:v>
                </c:pt>
                <c:pt idx="3">
                  <c:v>Louisiana </c:v>
                </c:pt>
                <c:pt idx="4">
                  <c:v>Mississippi </c:v>
                </c:pt>
                <c:pt idx="5">
                  <c:v>Montana </c:v>
                </c:pt>
                <c:pt idx="6">
                  <c:v>Nevada</c:v>
                </c:pt>
                <c:pt idx="7">
                  <c:v>Oklahoma </c:v>
                </c:pt>
                <c:pt idx="8">
                  <c:v>Texas </c:v>
                </c:pt>
                <c:pt idx="9">
                  <c:v>Wyoming</c:v>
                </c:pt>
              </c:strCache>
            </c:strRef>
          </c:cat>
          <c:val>
            <c:numRef>
              <c:f>Sheet7!$C$4:$C$14</c:f>
              <c:numCache>
                <c:formatCode>General</c:formatCode>
                <c:ptCount val="10"/>
                <c:pt idx="0">
                  <c:v>-0.05</c:v>
                </c:pt>
                <c:pt idx="1">
                  <c:v>-0.08</c:v>
                </c:pt>
                <c:pt idx="2">
                  <c:v>-5.8000000000000003E-2</c:v>
                </c:pt>
                <c:pt idx="3">
                  <c:v>-5.8999999999999997E-2</c:v>
                </c:pt>
                <c:pt idx="4">
                  <c:v>-5.5E-2</c:v>
                </c:pt>
                <c:pt idx="5">
                  <c:v>-5.7000000000000002E-2</c:v>
                </c:pt>
                <c:pt idx="6">
                  <c:v>-0.10299999999999999</c:v>
                </c:pt>
                <c:pt idx="7">
                  <c:v>-0.05</c:v>
                </c:pt>
                <c:pt idx="8">
                  <c:v>-6.6000000000000003E-2</c:v>
                </c:pt>
                <c:pt idx="9">
                  <c:v>-3.4000000000000002E-2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Insurrance Project.xlsx]Sheet8!PivotTable8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Average Medicare Ratio By State</a:t>
            </a:r>
          </a:p>
        </c:rich>
      </c:tx>
      <c:layout>
        <c:manualLayout>
          <c:xMode val="edge"/>
          <c:yMode val="edge"/>
          <c:x val="0.18758333333333335"/>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Sheet8!$B$3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c:spPr>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c:spPr>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c:spPr>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c:spPr>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dPt>
          <c:cat>
            <c:strRef>
              <c:f>Sheet8!$A$4:$A$56</c:f>
              <c:strCache>
                <c:ptCount val="52"/>
                <c:pt idx="0">
                  <c:v>Alabama </c:v>
                </c:pt>
                <c:pt idx="1">
                  <c:v>Alaska </c:v>
                </c:pt>
                <c:pt idx="2">
                  <c:v>Arizona </c:v>
                </c:pt>
                <c:pt idx="3">
                  <c:v>Arkansas </c:v>
                </c:pt>
                <c:pt idx="4">
                  <c:v>California</c:v>
                </c:pt>
                <c:pt idx="5">
                  <c:v>Colorado</c:v>
                </c:pt>
                <c:pt idx="6">
                  <c:v>Connecticut</c:v>
                </c:pt>
                <c:pt idx="7">
                  <c:v>Delaware </c:v>
                </c:pt>
                <c:pt idx="8">
                  <c:v>District of Columbia</c:v>
                </c:pt>
                <c:pt idx="9">
                  <c:v>Florida </c:v>
                </c:pt>
                <c:pt idx="10">
                  <c:v>Georgia </c:v>
                </c:pt>
                <c:pt idx="11">
                  <c:v>Hawaii</c:v>
                </c:pt>
                <c:pt idx="12">
                  <c:v>Idaho</c:v>
                </c:pt>
                <c:pt idx="13">
                  <c:v>Illinois </c:v>
                </c:pt>
                <c:pt idx="14">
                  <c:v>Indiana </c:v>
                </c:pt>
                <c:pt idx="15">
                  <c:v>Iowa </c:v>
                </c:pt>
                <c:pt idx="16">
                  <c:v>Kansas </c:v>
                </c:pt>
                <c:pt idx="17">
                  <c:v>Kentucky</c:v>
                </c:pt>
                <c:pt idx="18">
                  <c:v>Louisiana </c:v>
                </c:pt>
                <c:pt idx="19">
                  <c:v>Maine </c:v>
                </c:pt>
                <c:pt idx="20">
                  <c:v>Maryland</c:v>
                </c:pt>
                <c:pt idx="21">
                  <c:v>Massachusetts</c:v>
                </c:pt>
                <c:pt idx="22">
                  <c:v>Michigan </c:v>
                </c:pt>
                <c:pt idx="23">
                  <c:v>Minnesota</c:v>
                </c:pt>
                <c:pt idx="24">
                  <c:v>Mississippi </c:v>
                </c:pt>
                <c:pt idx="25">
                  <c:v>Missouri </c:v>
                </c:pt>
                <c:pt idx="26">
                  <c:v>Montana </c:v>
                </c:pt>
                <c:pt idx="27">
                  <c:v>Nebraska </c:v>
                </c:pt>
                <c:pt idx="28">
                  <c:v>Nevada</c:v>
                </c:pt>
                <c:pt idx="29">
                  <c:v>New Hampshire </c:v>
                </c:pt>
                <c:pt idx="30">
                  <c:v>New Jersey </c:v>
                </c:pt>
                <c:pt idx="31">
                  <c:v>New Mexico</c:v>
                </c:pt>
                <c:pt idx="32">
                  <c:v>New York</c:v>
                </c:pt>
                <c:pt idx="33">
                  <c:v>North Carolina </c:v>
                </c:pt>
                <c:pt idx="34">
                  <c:v>North Dakota </c:v>
                </c:pt>
                <c:pt idx="35">
                  <c:v>Ohio </c:v>
                </c:pt>
                <c:pt idx="36">
                  <c:v>Oklahoma </c:v>
                </c:pt>
                <c:pt idx="37">
                  <c:v>Oregon</c:v>
                </c:pt>
                <c:pt idx="38">
                  <c:v>Pennsylvania </c:v>
                </c:pt>
                <c:pt idx="39">
                  <c:v>Rhode Island</c:v>
                </c:pt>
                <c:pt idx="40">
                  <c:v>South Carolina </c:v>
                </c:pt>
                <c:pt idx="41">
                  <c:v>South Dakota </c:v>
                </c:pt>
                <c:pt idx="42">
                  <c:v>Tennessee </c:v>
                </c:pt>
                <c:pt idx="43">
                  <c:v>Texas </c:v>
                </c:pt>
                <c:pt idx="44">
                  <c:v>United States</c:v>
                </c:pt>
                <c:pt idx="45">
                  <c:v>Utah </c:v>
                </c:pt>
                <c:pt idx="46">
                  <c:v>Vermont</c:v>
                </c:pt>
                <c:pt idx="47">
                  <c:v>Virginia </c:v>
                </c:pt>
                <c:pt idx="48">
                  <c:v>Washington</c:v>
                </c:pt>
                <c:pt idx="49">
                  <c:v>West Virginia </c:v>
                </c:pt>
                <c:pt idx="50">
                  <c:v>Wisconsin </c:v>
                </c:pt>
                <c:pt idx="51">
                  <c:v>Wyoming</c:v>
                </c:pt>
              </c:strCache>
            </c:strRef>
          </c:cat>
          <c:val>
            <c:numRef>
              <c:f>Sheet8!$B$4:$B$56</c:f>
              <c:numCache>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224117</xdr:colOff>
      <xdr:row>0</xdr:row>
      <xdr:rowOff>98052</xdr:rowOff>
    </xdr:from>
    <xdr:to>
      <xdr:col>13</xdr:col>
      <xdr:colOff>266140</xdr:colOff>
      <xdr:row>5</xdr:row>
      <xdr:rowOff>98051</xdr:rowOff>
    </xdr:to>
    <xdr:sp macro="" textlink="">
      <xdr:nvSpPr>
        <xdr:cNvPr id="2" name="TextBox 1"/>
        <xdr:cNvSpPr txBox="1"/>
      </xdr:nvSpPr>
      <xdr:spPr>
        <a:xfrm>
          <a:off x="840441" y="98052"/>
          <a:ext cx="7437905" cy="98051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HEALTH INSURANCE</a:t>
          </a:r>
          <a:r>
            <a:rPr lang="en-US" sz="3200" b="1" baseline="0"/>
            <a:t> DASHBOARD</a:t>
          </a:r>
        </a:p>
        <a:p>
          <a:pPr algn="ctr"/>
          <a:r>
            <a:rPr lang="en-US" sz="2400" b="1" baseline="0"/>
            <a:t>BY: AWOM CHRISTINE DOMINIC</a:t>
          </a:r>
          <a:endParaRPr lang="en-US" sz="2400" b="1"/>
        </a:p>
      </xdr:txBody>
    </xdr:sp>
    <xdr:clientData/>
  </xdr:twoCellAnchor>
  <xdr:twoCellAnchor>
    <xdr:from>
      <xdr:col>0</xdr:col>
      <xdr:colOff>112060</xdr:colOff>
      <xdr:row>6</xdr:row>
      <xdr:rowOff>154081</xdr:rowOff>
    </xdr:from>
    <xdr:to>
      <xdr:col>7</xdr:col>
      <xdr:colOff>70036</xdr:colOff>
      <xdr:row>20</xdr:row>
      <xdr:rowOff>98051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56029</xdr:colOff>
      <xdr:row>21</xdr:row>
      <xdr:rowOff>42022</xdr:rowOff>
    </xdr:from>
    <xdr:to>
      <xdr:col>7</xdr:col>
      <xdr:colOff>84043</xdr:colOff>
      <xdr:row>38</xdr:row>
      <xdr:rowOff>56028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224117</xdr:colOff>
      <xdr:row>6</xdr:row>
      <xdr:rowOff>140074</xdr:rowOff>
    </xdr:from>
    <xdr:to>
      <xdr:col>14</xdr:col>
      <xdr:colOff>98051</xdr:colOff>
      <xdr:row>20</xdr:row>
      <xdr:rowOff>126066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210109</xdr:colOff>
      <xdr:row>21</xdr:row>
      <xdr:rowOff>70035</xdr:rowOff>
    </xdr:from>
    <xdr:to>
      <xdr:col>13</xdr:col>
      <xdr:colOff>560293</xdr:colOff>
      <xdr:row>38</xdr:row>
      <xdr:rowOff>42022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252132</xdr:colOff>
      <xdr:row>6</xdr:row>
      <xdr:rowOff>126065</xdr:rowOff>
    </xdr:from>
    <xdr:to>
      <xdr:col>21</xdr:col>
      <xdr:colOff>266140</xdr:colOff>
      <xdr:row>20</xdr:row>
      <xdr:rowOff>140073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294154</xdr:colOff>
      <xdr:row>21</xdr:row>
      <xdr:rowOff>56028</xdr:rowOff>
    </xdr:from>
    <xdr:to>
      <xdr:col>21</xdr:col>
      <xdr:colOff>154082</xdr:colOff>
      <xdr:row>37</xdr:row>
      <xdr:rowOff>172568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378200</xdr:colOff>
      <xdr:row>6</xdr:row>
      <xdr:rowOff>140075</xdr:rowOff>
    </xdr:from>
    <xdr:to>
      <xdr:col>29</xdr:col>
      <xdr:colOff>406214</xdr:colOff>
      <xdr:row>19</xdr:row>
      <xdr:rowOff>14007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0</xdr:colOff>
      <xdr:row>0</xdr:row>
      <xdr:rowOff>70036</xdr:rowOff>
    </xdr:from>
    <xdr:to>
      <xdr:col>19</xdr:col>
      <xdr:colOff>70037</xdr:colOff>
      <xdr:row>6</xdr:row>
      <xdr:rowOff>70035</xdr:rowOff>
    </xdr:to>
    <mc:AlternateContent xmlns:mc="http://schemas.openxmlformats.org/markup-compatibility/2006" xmlns:a14="http://schemas.microsoft.com/office/drawing/2010/main">
      <mc:Choice Requires="a14">
        <xdr:graphicFrame macro="">
          <xdr:nvGraphicFramePr>
            <xdr:cNvPr id="10" name="State Medicaid Expansion (2016) 1"/>
            <xdr:cNvGraphicFramePr/>
          </xdr:nvGraphicFramePr>
          <xdr:xfrm>
            <a:off x="0" y="0"/>
            <a:ext cx="0" cy="0"/>
          </xdr:xfrm>
          <a:graphic>
            <a:graphicData uri="http://schemas.microsoft.com/office/drawing/2010/slicer">
              <sle:slicer xmlns:sle="http://schemas.microsoft.com/office/drawing/2010/slicer" name="State Medicaid Expansion (2016) 1"/>
            </a:graphicData>
          </a:graphic>
        </xdr:graphicFrame>
      </mc:Choice>
      <mc:Fallback xmlns="">
        <xdr:sp macro="" textlink="">
          <xdr:nvSpPr>
            <xdr:cNvPr id="0" name=""/>
            <xdr:cNvSpPr>
              <a:spLocks noTextEdit="1"/>
            </xdr:cNvSpPr>
          </xdr:nvSpPr>
          <xdr:spPr>
            <a:xfrm>
              <a:off x="9244853" y="70036"/>
              <a:ext cx="2535331" cy="1176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126067</xdr:colOff>
      <xdr:row>0</xdr:row>
      <xdr:rowOff>84043</xdr:rowOff>
    </xdr:from>
    <xdr:to>
      <xdr:col>22</xdr:col>
      <xdr:colOff>350184</xdr:colOff>
      <xdr:row>6</xdr:row>
      <xdr:rowOff>84043</xdr:rowOff>
    </xdr:to>
    <mc:AlternateContent xmlns:mc="http://schemas.openxmlformats.org/markup-compatibility/2006" xmlns:a14="http://schemas.microsoft.com/office/drawing/2010/main">
      <mc:Choice Requires="a14">
        <xdr:graphicFrame macro="">
          <xdr:nvGraphicFramePr>
            <xdr:cNvPr id="11"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836214" y="84043"/>
              <a:ext cx="2073088" cy="117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392205</xdr:colOff>
      <xdr:row>0</xdr:row>
      <xdr:rowOff>70037</xdr:rowOff>
    </xdr:from>
    <xdr:to>
      <xdr:col>26</xdr:col>
      <xdr:colOff>252132</xdr:colOff>
      <xdr:row>6</xdr:row>
      <xdr:rowOff>70037</xdr:rowOff>
    </xdr:to>
    <mc:AlternateContent xmlns:mc="http://schemas.openxmlformats.org/markup-compatibility/2006" xmlns:a14="http://schemas.microsoft.com/office/drawing/2010/main">
      <mc:Choice Requires="a14">
        <xdr:graphicFrame macro="">
          <xdr:nvGraphicFramePr>
            <xdr:cNvPr id="12" name="Uninsured Rate Change (2010-2015) 1"/>
            <xdr:cNvGraphicFramePr/>
          </xdr:nvGraphicFramePr>
          <xdr:xfrm>
            <a:off x="0" y="0"/>
            <a:ext cx="0" cy="0"/>
          </xdr:xfrm>
          <a:graphic>
            <a:graphicData uri="http://schemas.microsoft.com/office/drawing/2010/slicer">
              <sle:slicer xmlns:sle="http://schemas.microsoft.com/office/drawing/2010/slicer" name="Uninsured Rate Change (2010-2015) 1"/>
            </a:graphicData>
          </a:graphic>
        </xdr:graphicFrame>
      </mc:Choice>
      <mc:Fallback xmlns="">
        <xdr:sp macro="" textlink="">
          <xdr:nvSpPr>
            <xdr:cNvPr id="0" name=""/>
            <xdr:cNvSpPr>
              <a:spLocks noTextEdit="1"/>
            </xdr:cNvSpPr>
          </xdr:nvSpPr>
          <xdr:spPr>
            <a:xfrm>
              <a:off x="13951323" y="70037"/>
              <a:ext cx="2325221" cy="117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294154</xdr:colOff>
      <xdr:row>0</xdr:row>
      <xdr:rowOff>70037</xdr:rowOff>
    </xdr:from>
    <xdr:to>
      <xdr:col>29</xdr:col>
      <xdr:colOff>358029</xdr:colOff>
      <xdr:row>6</xdr:row>
      <xdr:rowOff>82363</xdr:rowOff>
    </xdr:to>
    <mc:AlternateContent xmlns:mc="http://schemas.openxmlformats.org/markup-compatibility/2006" xmlns:a14="http://schemas.microsoft.com/office/drawing/2010/main">
      <mc:Choice Requires="a14">
        <xdr:graphicFrame macro="">
          <xdr:nvGraphicFramePr>
            <xdr:cNvPr id="13" name="Average Monthly Tax Credit (2016) 1"/>
            <xdr:cNvGraphicFramePr/>
          </xdr:nvGraphicFramePr>
          <xdr:xfrm>
            <a:off x="0" y="0"/>
            <a:ext cx="0" cy="0"/>
          </xdr:xfrm>
          <a:graphic>
            <a:graphicData uri="http://schemas.microsoft.com/office/drawing/2010/slicer">
              <sle:slicer xmlns:sle="http://schemas.microsoft.com/office/drawing/2010/slicer" name="Average Monthly Tax Credit (2016) 1"/>
            </a:graphicData>
          </a:graphic>
        </xdr:graphicFrame>
      </mc:Choice>
      <mc:Fallback xmlns="">
        <xdr:sp macro="" textlink="">
          <xdr:nvSpPr>
            <xdr:cNvPr id="0" name=""/>
            <xdr:cNvSpPr>
              <a:spLocks noTextEdit="1"/>
            </xdr:cNvSpPr>
          </xdr:nvSpPr>
          <xdr:spPr>
            <a:xfrm>
              <a:off x="16318566" y="70037"/>
              <a:ext cx="1912845" cy="1188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378198</xdr:colOff>
      <xdr:row>20</xdr:row>
      <xdr:rowOff>0</xdr:rowOff>
    </xdr:from>
    <xdr:to>
      <xdr:col>29</xdr:col>
      <xdr:colOff>518271</xdr:colOff>
      <xdr:row>38</xdr:row>
      <xdr:rowOff>126066</xdr:rowOff>
    </xdr:to>
    <xdr:sp macro="" textlink="">
      <xdr:nvSpPr>
        <xdr:cNvPr id="14" name="TextBox 13"/>
        <xdr:cNvSpPr txBox="1"/>
      </xdr:nvSpPr>
      <xdr:spPr>
        <a:xfrm>
          <a:off x="13320992" y="3922059"/>
          <a:ext cx="5070661" cy="3655919"/>
        </a:xfrm>
        <a:prstGeom prst="rect">
          <a:avLst/>
        </a:prstGeom>
        <a:noFill/>
        <a:ln w="9525" cap="rnd" cmpd="sng">
          <a:solidFill>
            <a:schemeClr val="bg2">
              <a:lumMod val="75000"/>
            </a:schemeClr>
          </a:solidFill>
        </a:ln>
        <a:effectLst>
          <a:outerShdw blurRad="50800" dist="38100" dir="13500000" algn="br" rotWithShape="0">
            <a:prstClr val="black">
              <a:alpha val="34000"/>
            </a:prstClr>
          </a:outerShdw>
          <a:softEdge rad="139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dk1"/>
              </a:solidFill>
              <a:effectLst/>
              <a:latin typeface="+mn-lt"/>
              <a:ea typeface="+mn-ea"/>
              <a:cs typeface="+mn-cs"/>
            </a:rPr>
            <a:t>PREDICTION:</a:t>
          </a:r>
          <a:r>
            <a:rPr lang="en-US" sz="1500" b="1" baseline="0">
              <a:solidFill>
                <a:schemeClr val="dk1"/>
              </a:solidFill>
              <a:effectLst/>
              <a:latin typeface="+mn-lt"/>
              <a:ea typeface="+mn-ea"/>
              <a:cs typeface="+mn-cs"/>
            </a:rPr>
            <a:t> </a:t>
          </a:r>
          <a:r>
            <a:rPr lang="en-US" sz="1500">
              <a:solidFill>
                <a:schemeClr val="dk1"/>
              </a:solidFill>
              <a:effectLst/>
              <a:latin typeface="+mn-lt"/>
              <a:ea typeface="+mn-ea"/>
              <a:cs typeface="+mn-cs"/>
            </a:rPr>
            <a:t>The nationwide uninsured rate is predicted to </a:t>
          </a:r>
          <a:r>
            <a:rPr lang="en-US" sz="1500" b="0">
              <a:solidFill>
                <a:schemeClr val="dk1"/>
              </a:solidFill>
              <a:effectLst/>
              <a:latin typeface="+mn-lt"/>
              <a:ea typeface="+mn-ea"/>
              <a:cs typeface="+mn-cs"/>
            </a:rPr>
            <a:t>remain stable at a historically low level, likely fluctuating between</a:t>
          </a:r>
          <a:r>
            <a:rPr lang="en-US" sz="1500" b="0" baseline="0">
              <a:solidFill>
                <a:schemeClr val="dk1"/>
              </a:solidFill>
              <a:effectLst/>
              <a:latin typeface="+mn-lt"/>
              <a:ea typeface="+mn-ea"/>
              <a:cs typeface="+mn-cs"/>
            </a:rPr>
            <a:t> 7.5% and 9.5%</a:t>
          </a:r>
          <a:r>
            <a:rPr lang="en-US" sz="1500">
              <a:solidFill>
                <a:schemeClr val="dk1"/>
              </a:solidFill>
              <a:effectLst/>
              <a:latin typeface="+mn-lt"/>
              <a:ea typeface="+mn-ea"/>
              <a:cs typeface="+mn-cs"/>
            </a:rPr>
            <a:t> over the next five years.</a:t>
          </a:r>
        </a:p>
        <a:p>
          <a:endParaRPr lang="en-US" sz="1500">
            <a:solidFill>
              <a:schemeClr val="dk1"/>
            </a:solidFill>
            <a:effectLst/>
            <a:latin typeface="+mn-lt"/>
            <a:ea typeface="+mn-ea"/>
            <a:cs typeface="+mn-cs"/>
          </a:endParaRPr>
        </a:p>
        <a:p>
          <a:r>
            <a:rPr lang="en-US" sz="1500" b="1">
              <a:solidFill>
                <a:schemeClr val="dk1"/>
              </a:solidFill>
              <a:effectLst/>
              <a:latin typeface="+mn-lt"/>
              <a:ea typeface="+mn-ea"/>
              <a:cs typeface="+mn-cs"/>
            </a:rPr>
            <a:t>KEY</a:t>
          </a:r>
          <a:r>
            <a:rPr lang="en-US" sz="1500" b="1" baseline="0">
              <a:solidFill>
                <a:schemeClr val="dk1"/>
              </a:solidFill>
              <a:effectLst/>
              <a:latin typeface="+mn-lt"/>
              <a:ea typeface="+mn-ea"/>
              <a:cs typeface="+mn-cs"/>
            </a:rPr>
            <a:t> INSIGHTS</a:t>
          </a:r>
        </a:p>
        <a:p>
          <a:r>
            <a:rPr lang="en-US" sz="1500" b="1">
              <a:solidFill>
                <a:schemeClr val="dk1"/>
              </a:solidFill>
              <a:effectLst/>
              <a:latin typeface="+mn-lt"/>
              <a:ea typeface="+mn-ea"/>
              <a:cs typeface="+mn-cs"/>
            </a:rPr>
            <a:t>Policy Resilience:</a:t>
          </a:r>
          <a:r>
            <a:rPr lang="en-US" sz="1500">
              <a:solidFill>
                <a:schemeClr val="dk1"/>
              </a:solidFill>
              <a:effectLst/>
              <a:latin typeface="+mn-lt"/>
              <a:ea typeface="+mn-ea"/>
              <a:cs typeface="+mn-cs"/>
            </a:rPr>
            <a:t> The core mechanisms—Medicaid expansion and Marketplace premium tax credits—are still in place and remain the primary drivers of enrollment. Public data shows the rate has stabilized near $8\%$ recently, demonstrating the resilience of these policy structures.</a:t>
          </a:r>
        </a:p>
        <a:p>
          <a:r>
            <a:rPr lang="en-US" sz="1500" b="1">
              <a:solidFill>
                <a:schemeClr val="dk1"/>
              </a:solidFill>
              <a:effectLst/>
              <a:latin typeface="+mn-lt"/>
              <a:ea typeface="+mn-ea"/>
              <a:cs typeface="+mn-cs"/>
            </a:rPr>
            <a:t>Risk Factors:</a:t>
          </a:r>
          <a:r>
            <a:rPr lang="en-US" sz="1500">
              <a:solidFill>
                <a:schemeClr val="dk1"/>
              </a:solidFill>
              <a:effectLst/>
              <a:latin typeface="+mn-lt"/>
              <a:ea typeface="+mn-ea"/>
              <a:cs typeface="+mn-cs"/>
            </a:rPr>
            <a:t> Any major shifts in this prediction would rely heavily on two factors: a significant </a:t>
          </a:r>
          <a:r>
            <a:rPr lang="en-US" sz="1500" b="1">
              <a:solidFill>
                <a:schemeClr val="dk1"/>
              </a:solidFill>
              <a:effectLst/>
              <a:latin typeface="+mn-lt"/>
              <a:ea typeface="+mn-ea"/>
              <a:cs typeface="+mn-cs"/>
            </a:rPr>
            <a:t>economic downturn</a:t>
          </a:r>
          <a:r>
            <a:rPr lang="en-US" sz="1500">
              <a:solidFill>
                <a:schemeClr val="dk1"/>
              </a:solidFill>
              <a:effectLst/>
              <a:latin typeface="+mn-lt"/>
              <a:ea typeface="+mn-ea"/>
              <a:cs typeface="+mn-cs"/>
            </a:rPr>
            <a:t> (leading to job-related insurance loss) or a legislative change that </a:t>
          </a:r>
          <a:r>
            <a:rPr lang="en-US" sz="1500" b="1">
              <a:solidFill>
                <a:schemeClr val="dk1"/>
              </a:solidFill>
              <a:effectLst/>
              <a:latin typeface="+mn-lt"/>
              <a:ea typeface="+mn-ea"/>
              <a:cs typeface="+mn-cs"/>
            </a:rPr>
            <a:t>removes federal subsidies</a:t>
          </a:r>
          <a:r>
            <a:rPr lang="en-US" sz="1500">
              <a:solidFill>
                <a:schemeClr val="dk1"/>
              </a:solidFill>
              <a:effectLst/>
              <a:latin typeface="+mn-lt"/>
              <a:ea typeface="+mn-ea"/>
              <a:cs typeface="+mn-cs"/>
            </a:rPr>
            <a:t>. Absent these events, the rate will hold steady.</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1724025</xdr:colOff>
      <xdr:row>4</xdr:row>
      <xdr:rowOff>157162</xdr:rowOff>
    </xdr:from>
    <xdr:to>
      <xdr:col>7</xdr:col>
      <xdr:colOff>161925</xdr:colOff>
      <xdr:row>19</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4</xdr:row>
      <xdr:rowOff>80962</xdr:rowOff>
    </xdr:from>
    <xdr:to>
      <xdr:col>9</xdr:col>
      <xdr:colOff>571500</xdr:colOff>
      <xdr:row>18</xdr:row>
      <xdr:rowOff>157162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638175</xdr:colOff>
      <xdr:row>8</xdr:row>
      <xdr:rowOff>109537</xdr:rowOff>
    </xdr:from>
    <xdr:to>
      <xdr:col>6</xdr:col>
      <xdr:colOff>152400</xdr:colOff>
      <xdr:row>22</xdr:row>
      <xdr:rowOff>185737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8</xdr:row>
      <xdr:rowOff>66675</xdr:rowOff>
    </xdr:from>
    <xdr:to>
      <xdr:col>1</xdr:col>
      <xdr:colOff>1257300</xdr:colOff>
      <xdr:row>12</xdr:row>
      <xdr:rowOff>152400</xdr:rowOff>
    </xdr:to>
    <mc:AlternateContent xmlns:mc="http://schemas.openxmlformats.org/markup-compatibility/2006" xmlns:a14="http://schemas.microsoft.com/office/drawing/2010/main">
      <mc:Choice Requires="a14">
        <xdr:graphicFrame macro="">
          <xdr:nvGraphicFramePr>
            <xdr:cNvPr id="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04800" y="1590675"/>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xdr:colOff>
      <xdr:row>3</xdr:row>
      <xdr:rowOff>152401</xdr:rowOff>
    </xdr:from>
    <xdr:to>
      <xdr:col>10</xdr:col>
      <xdr:colOff>85725</xdr:colOff>
      <xdr:row>9</xdr:row>
      <xdr:rowOff>114301</xdr:rowOff>
    </xdr:to>
    <mc:AlternateContent xmlns:mc="http://schemas.openxmlformats.org/markup-compatibility/2006">
      <mc:Choice xmlns:a14="http://schemas.microsoft.com/office/drawing/2010/main" Requires="a14">
        <xdr:graphicFrame macro="">
          <xdr:nvGraphicFramePr>
            <xdr:cNvPr id="4" name="State Medicaid Expansion (2016)"/>
            <xdr:cNvGraphicFramePr/>
          </xdr:nvGraphicFramePr>
          <xdr:xfrm>
            <a:off x="0" y="0"/>
            <a:ext cx="0" cy="0"/>
          </xdr:xfrm>
          <a:graphic>
            <a:graphicData uri="http://schemas.microsoft.com/office/drawing/2010/slicer">
              <sle:slicer xmlns:sle="http://schemas.microsoft.com/office/drawing/2010/slicer" name="State Medicaid Expansion (2016)"/>
            </a:graphicData>
          </a:graphic>
        </xdr:graphicFrame>
      </mc:Choice>
      <mc:Fallback>
        <xdr:sp macro="" textlink="">
          <xdr:nvSpPr>
            <xdr:cNvPr id="0" name=""/>
            <xdr:cNvSpPr>
              <a:spLocks noTextEdit="1"/>
            </xdr:cNvSpPr>
          </xdr:nvSpPr>
          <xdr:spPr>
            <a:xfrm>
              <a:off x="9525000" y="72390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219075</xdr:colOff>
      <xdr:row>1</xdr:row>
      <xdr:rowOff>133350</xdr:rowOff>
    </xdr:from>
    <xdr:to>
      <xdr:col>6</xdr:col>
      <xdr:colOff>219075</xdr:colOff>
      <xdr:row>7</xdr:row>
      <xdr:rowOff>161925</xdr:rowOff>
    </xdr:to>
    <mc:AlternateContent xmlns:mc="http://schemas.openxmlformats.org/markup-compatibility/2006" xmlns:a14="http://schemas.microsoft.com/office/drawing/2010/main">
      <mc:Choice Requires="a14">
        <xdr:graphicFrame macro="">
          <xdr:nvGraphicFramePr>
            <xdr:cNvPr id="5" name="Uninsured Rate Change (2010-2015)"/>
            <xdr:cNvGraphicFramePr/>
          </xdr:nvGraphicFramePr>
          <xdr:xfrm>
            <a:off x="0" y="0"/>
            <a:ext cx="0" cy="0"/>
          </xdr:xfrm>
          <a:graphic>
            <a:graphicData uri="http://schemas.microsoft.com/office/drawing/2010/slicer">
              <sle:slicer xmlns:sle="http://schemas.microsoft.com/office/drawing/2010/slicer" name="Uninsured Rate Change (2010-2015)"/>
            </a:graphicData>
          </a:graphic>
        </xdr:graphicFrame>
      </mc:Choice>
      <mc:Fallback xmlns="">
        <xdr:sp macro="" textlink="">
          <xdr:nvSpPr>
            <xdr:cNvPr id="0" name=""/>
            <xdr:cNvSpPr>
              <a:spLocks noTextEdit="1"/>
            </xdr:cNvSpPr>
          </xdr:nvSpPr>
          <xdr:spPr>
            <a:xfrm>
              <a:off x="7219950" y="32385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495300</xdr:colOff>
      <xdr:row>15</xdr:row>
      <xdr:rowOff>76201</xdr:rowOff>
    </xdr:from>
    <xdr:to>
      <xdr:col>1</xdr:col>
      <xdr:colOff>2324100</xdr:colOff>
      <xdr:row>21</xdr:row>
      <xdr:rowOff>38101</xdr:rowOff>
    </xdr:to>
    <mc:AlternateContent xmlns:mc="http://schemas.openxmlformats.org/markup-compatibility/2006" xmlns:a14="http://schemas.microsoft.com/office/drawing/2010/main">
      <mc:Choice Requires="a14">
        <xdr:graphicFrame macro="">
          <xdr:nvGraphicFramePr>
            <xdr:cNvPr id="6" name="Average Monthly Tax Credit (2016)"/>
            <xdr:cNvGraphicFramePr/>
          </xdr:nvGraphicFramePr>
          <xdr:xfrm>
            <a:off x="0" y="0"/>
            <a:ext cx="0" cy="0"/>
          </xdr:xfrm>
          <a:graphic>
            <a:graphicData uri="http://schemas.microsoft.com/office/drawing/2010/slicer">
              <sle:slicer xmlns:sle="http://schemas.microsoft.com/office/drawing/2010/slicer" name="Average Monthly Tax Credit (2016)"/>
            </a:graphicData>
          </a:graphic>
        </xdr:graphicFrame>
      </mc:Choice>
      <mc:Fallback xmlns="">
        <xdr:sp macro="" textlink="">
          <xdr:nvSpPr>
            <xdr:cNvPr id="0" name=""/>
            <xdr:cNvSpPr>
              <a:spLocks noTextEdit="1"/>
            </xdr:cNvSpPr>
          </xdr:nvSpPr>
          <xdr:spPr>
            <a:xfrm>
              <a:off x="1371600" y="293370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1181100</xdr:colOff>
      <xdr:row>9</xdr:row>
      <xdr:rowOff>42862</xdr:rowOff>
    </xdr:from>
    <xdr:to>
      <xdr:col>5</xdr:col>
      <xdr:colOff>466725</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1714500</xdr:colOff>
      <xdr:row>4</xdr:row>
      <xdr:rowOff>109537</xdr:rowOff>
    </xdr:from>
    <xdr:to>
      <xdr:col>9</xdr:col>
      <xdr:colOff>381000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266700</xdr:colOff>
      <xdr:row>6</xdr:row>
      <xdr:rowOff>61912</xdr:rowOff>
    </xdr:from>
    <xdr:to>
      <xdr:col>9</xdr:col>
      <xdr:colOff>304800</xdr:colOff>
      <xdr:row>18</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581025</xdr:colOff>
      <xdr:row>5</xdr:row>
      <xdr:rowOff>80962</xdr:rowOff>
    </xdr:from>
    <xdr:to>
      <xdr:col>10</xdr:col>
      <xdr:colOff>276225</xdr:colOff>
      <xdr:row>19</xdr:row>
      <xdr:rowOff>157162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67.835705324076" createdVersion="5" refreshedVersion="5" minRefreshableVersion="3" recordCount="52">
  <cacheSource type="worksheet">
    <worksheetSource name="Health"/>
  </cacheSource>
  <cacheFields count="16">
    <cacheField name="State" numFmtId="0">
      <sharedItems count="52">
        <s v="Alabama "/>
        <s v="Alaska "/>
        <s v="Arizona "/>
        <s v="Arkansas "/>
        <s v="California"/>
        <s v="Colorado"/>
        <s v="Connecticut"/>
        <s v="Delaware "/>
        <s v="District of Columbia"/>
        <s v="Florida "/>
        <s v="Georgia "/>
        <s v="Hawaii"/>
        <s v="Idaho"/>
        <s v="Illinois "/>
        <s v="Indiana "/>
        <s v="Iowa "/>
        <s v="Kansas "/>
        <s v="Kentucky"/>
        <s v="Louisiana "/>
        <s v="Maine "/>
        <s v="Maryland"/>
        <s v="Massachusetts"/>
        <s v="Michigan "/>
        <s v="Minnesota"/>
        <s v="Mississippi "/>
        <s v="Missouri "/>
        <s v="Montana "/>
        <s v="Nebraska "/>
        <s v="Nevada"/>
        <s v="New Hampshire "/>
        <s v="New Jersey "/>
        <s v="New Mexico"/>
        <s v="New York"/>
        <s v="North Carolina "/>
        <s v="North Dakota "/>
        <s v="Ohio "/>
        <s v="Oklahoma "/>
        <s v="Oregon"/>
        <s v="Pennsylvania "/>
        <s v="Rhode Island"/>
        <s v="South Carolina "/>
        <s v="South Dakota "/>
        <s v="Tennessee "/>
        <s v="Texas "/>
        <s v="Utah "/>
        <s v="Vermont"/>
        <s v="Virginia "/>
        <s v="Washington"/>
        <s v="West Virginia "/>
        <s v="Wisconsin "/>
        <s v="Wyoming"/>
        <s v="United States"/>
      </sharedItems>
    </cacheField>
    <cacheField name="Uninsured Rate (2010)" numFmtId="0">
      <sharedItems containsSemiMixedTypes="0" containsString="0" containsNumber="1" minValue="4.3999999999999997E-2" maxValue="0.23699999999999999"/>
    </cacheField>
    <cacheField name="Uninsured Rate (2015)" numFmtId="0">
      <sharedItems containsSemiMixedTypes="0" containsString="0" containsNumber="1" minValue="2.8000000000000001E-2" maxValue="0.17100000000000001"/>
    </cacheField>
    <cacheField name="Uninsured Rate Change (2010-2015)" numFmtId="0">
      <sharedItems containsSemiMixedTypes="0" containsString="0" containsNumber="1" minValue="-0.10299999999999999" maxValue="6.0999999999999999E-2" count="40">
        <n v="-4.4999999999999998E-2"/>
        <n v="-0.05"/>
        <n v="-6.0999999999999999E-2"/>
        <n v="-0.08"/>
        <n v="-9.9000000000000005E-2"/>
        <n v="-7.8E-2"/>
        <n v="-3.1E-2"/>
        <n v="-3.7999999999999999E-2"/>
        <n v="-5.8000000000000003E-2"/>
        <n v="-3.9E-2"/>
        <n v="-6.7000000000000004E-2"/>
        <n v="-5.1999999999999998E-2"/>
        <n v="-4.2999999999999997E-2"/>
        <n v="-4.8000000000000001E-2"/>
        <n v="-9.2999999999999999E-2"/>
        <n v="-5.8999999999999997E-2"/>
        <n v="-1.7000000000000001E-2"/>
        <n v="-4.7E-2"/>
        <n v="-1.6E-2"/>
        <n v="-6.3E-2"/>
        <n v="-4.5999999999999999E-2"/>
        <n v="-5.5E-2"/>
        <n v="-3.4000000000000002E-2"/>
        <n v="-5.7000000000000002E-2"/>
        <n v="-3.3000000000000002E-2"/>
        <n v="-0.10299999999999999"/>
        <n v="-8.6999999999999994E-2"/>
        <n v="-5.6000000000000001E-2"/>
        <n v="-0.02"/>
        <n v="-0.10100000000000001"/>
        <n v="-6.5000000000000002E-2"/>
        <n v="-6.6000000000000003E-2"/>
        <n v="-2.1999999999999999E-2"/>
        <n v="-4.1000000000000002E-2"/>
        <n v="-4.2000000000000003E-2"/>
        <n v="-0.04"/>
        <n v="-7.5999999999999998E-2"/>
        <n v="-8.5999999999999993E-2"/>
        <n v="-3.6999999999999998E-2"/>
        <n v="6.0999999999999999E-2"/>
      </sharedItems>
    </cacheField>
    <cacheField name="Health Insurance Coverage Change (2010-2015)" numFmtId="0">
      <sharedItems containsSemiMixedTypes="0" containsString="0" containsNumber="1" containsInteger="1" minValue="15000" maxValue="19304000"/>
    </cacheField>
    <cacheField name="Employer Health Insurance Coverage (2015)" numFmtId="0">
      <sharedItems containsSemiMixedTypes="0" containsString="0" containsNumber="1" containsInteger="1" minValue="335000" maxValue="172292000"/>
    </cacheField>
    <cacheField name="Marketplace Health Insurance Coverage (2016)" numFmtId="0">
      <sharedItems containsSemiMixedTypes="0" containsString="0" containsNumber="1" containsInteger="1" minValue="13313" maxValue="11081330"/>
    </cacheField>
    <cacheField name="Marketplace Tax Credits (2016)" numFmtId="0">
      <sharedItems containsSemiMixedTypes="0" containsString="0" containsNumber="1" containsInteger="1" minValue="1224" maxValue="9389609"/>
    </cacheField>
    <cacheField name="Average Monthly Tax Credit (2016)" numFmtId="6">
      <sharedItems containsSemiMixedTypes="0" containsString="0" containsNumber="1" containsInteger="1" minValue="178" maxValue="750" count="47">
        <n v="310"/>
        <n v="750"/>
        <n v="230"/>
        <n v="306"/>
        <n v="309"/>
        <n v="318"/>
        <n v="357"/>
        <n v="330"/>
        <n v="183"/>
        <n v="305"/>
        <n v="291"/>
        <n v="270"/>
        <n v="265"/>
        <n v="237"/>
        <n v="259"/>
        <n v="307"/>
        <n v="247"/>
        <n v="258"/>
        <n v="362"/>
        <n v="342"/>
        <n v="243"/>
        <n v="190"/>
        <n v="233"/>
        <n v="203"/>
        <n v="315"/>
        <n v="296"/>
        <n v="268"/>
        <n v="261"/>
        <n v="322"/>
        <n v="212"/>
        <n v="178"/>
        <n v="401"/>
        <n v="262"/>
        <n v="250"/>
        <n v="298"/>
        <n v="253"/>
        <n v="248"/>
        <n v="312"/>
        <n v="299"/>
        <n v="271"/>
        <n v="187"/>
        <n v="300"/>
        <n v="276"/>
        <n v="238"/>
        <n v="388"/>
        <n v="332"/>
        <n v="459"/>
      </sharedItems>
    </cacheField>
    <cacheField name="State Medicaid Expansion (2016)" numFmtId="0">
      <sharedItems containsBlank="1" count="3">
        <b v="0"/>
        <b v="1"/>
        <m/>
      </sharedItems>
    </cacheField>
    <cacheField name="Medicaid Enrollment (2013)" numFmtId="0">
      <sharedItems containsString="0" containsBlank="1" containsNumber="1" containsInteger="1" minValue="67518" maxValue="56392477"/>
    </cacheField>
    <cacheField name="Medicaid Enrollment (2016)" numFmtId="0">
      <sharedItems containsSemiMixedTypes="0" containsString="0" containsNumber="1" containsInteger="1" minValue="63583" maxValue="73532931"/>
    </cacheField>
    <cacheField name="Medicaid Enrollment Change (2013-2016)" numFmtId="0">
      <sharedItems containsString="0" containsBlank="1" containsNumber="1" containsInteger="1" minValue="-3935" maxValue="16106157" count="51">
        <n v="111599"/>
        <n v="44291"/>
        <n v="514428"/>
        <n v="363343"/>
        <n v="4087700"/>
        <n v="591844"/>
        <m/>
        <n v="13378"/>
        <n v="19705"/>
        <n v="539677"/>
        <n v="247211"/>
        <n v="52843"/>
        <n v="55755"/>
        <n v="490996"/>
        <n v="369131"/>
        <n v="125540"/>
        <n v="43478"/>
        <n v="613983"/>
        <n v="308921"/>
        <n v="396007"/>
        <n v="387969"/>
        <n v="388949"/>
        <n v="178469"/>
        <n v="56640"/>
        <n v="121200"/>
        <n v="75074"/>
        <n v="-1898"/>
        <n v="281738"/>
        <n v="62347"/>
        <n v="500678"/>
        <n v="309054"/>
        <n v="752748"/>
        <n v="476330"/>
        <n v="19783"/>
        <n v="661689"/>
        <n v="-1507"/>
        <n v="395506"/>
        <n v="497068"/>
        <n v="96340"/>
        <n v="105060"/>
        <n v="4334"/>
        <n v="382584"/>
        <n v="328624"/>
        <n v="20153"/>
        <n v="14516"/>
        <n v="53387"/>
        <n v="670960"/>
        <n v="221101"/>
        <n v="61366"/>
        <n v="-3935"/>
        <n v="16106157"/>
      </sharedItems>
    </cacheField>
    <cacheField name="Medicare Enrollment (2016)" numFmtId="0">
      <sharedItems containsSemiMixedTypes="0" containsString="0" containsNumber="1" containsInteger="1" minValue="88966" maxValue="57149984"/>
    </cacheField>
    <cacheField name="Credit Usage Rate" numFmtId="0" formula="'Marketplace Tax Credits (2016)'/'Marketplace Health Insurance Coverage (2016)'" databaseField="0"/>
    <cacheField name="Medicaid to Medicare Ratio" numFmtId="0" formula="'Medicaid Enrollment (2016)'/'Medicaid Enrollment (2016)'"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2">
  <r>
    <x v="0"/>
    <n v="0.14599999999999999"/>
    <n v="0.10100000000000001"/>
    <x v="0"/>
    <n v="215000"/>
    <n v="2545000"/>
    <n v="165534"/>
    <n v="152206"/>
    <x v="0"/>
    <x v="0"/>
    <n v="799176"/>
    <n v="910775"/>
    <x v="0"/>
    <n v="989855"/>
  </r>
  <r>
    <x v="1"/>
    <n v="0.19900000000000001"/>
    <n v="0.14899999999999999"/>
    <x v="1"/>
    <n v="36000"/>
    <n v="390000"/>
    <n v="17995"/>
    <n v="16205"/>
    <x v="1"/>
    <x v="1"/>
    <n v="122334"/>
    <n v="166625"/>
    <x v="1"/>
    <n v="88966"/>
  </r>
  <r>
    <x v="2"/>
    <n v="0.16900000000000001"/>
    <n v="0.108"/>
    <x v="2"/>
    <n v="410000"/>
    <n v="3288000"/>
    <n v="179445"/>
    <n v="124346"/>
    <x v="2"/>
    <x v="1"/>
    <n v="1201770"/>
    <n v="1716198"/>
    <x v="2"/>
    <n v="1175624"/>
  </r>
  <r>
    <x v="3"/>
    <n v="0.17499999999999999"/>
    <n v="9.5000000000000001E-2"/>
    <x v="3"/>
    <n v="234000"/>
    <n v="1365000"/>
    <n v="63357"/>
    <n v="56843"/>
    <x v="3"/>
    <x v="1"/>
    <n v="556851"/>
    <n v="920194"/>
    <x v="3"/>
    <n v="606146"/>
  </r>
  <r>
    <x v="4"/>
    <n v="0.185"/>
    <n v="8.5999999999999993E-2"/>
    <x v="4"/>
    <n v="3826000"/>
    <n v="19552000"/>
    <n v="1415428"/>
    <n v="1239893"/>
    <x v="4"/>
    <x v="1"/>
    <n v="7755381"/>
    <n v="11843081"/>
    <x v="4"/>
    <n v="5829777"/>
  </r>
  <r>
    <x v="5"/>
    <n v="0.159"/>
    <n v="8.1000000000000003E-2"/>
    <x v="5"/>
    <n v="419000"/>
    <n v="2949000"/>
    <n v="108311"/>
    <n v="67062"/>
    <x v="5"/>
    <x v="1"/>
    <n v="783420"/>
    <n v="1375264"/>
    <x v="5"/>
    <n v="820234"/>
  </r>
  <r>
    <x v="6"/>
    <n v="9.0999999999999998E-2"/>
    <n v="0.06"/>
    <x v="6"/>
    <n v="110000"/>
    <n v="2148000"/>
    <n v="102917"/>
    <n v="80759"/>
    <x v="6"/>
    <x v="1"/>
    <m/>
    <n v="761137"/>
    <x v="6"/>
    <n v="644136"/>
  </r>
  <r>
    <x v="7"/>
    <n v="9.7000000000000003E-2"/>
    <n v="5.8999999999999997E-2"/>
    <x v="7"/>
    <n v="35000"/>
    <n v="564000"/>
    <n v="25379"/>
    <n v="21467"/>
    <x v="7"/>
    <x v="1"/>
    <n v="223324"/>
    <n v="236702"/>
    <x v="7"/>
    <n v="186835"/>
  </r>
  <r>
    <x v="8"/>
    <n v="7.5999999999999998E-2"/>
    <n v="3.7999999999999999E-2"/>
    <x v="7"/>
    <n v="25000"/>
    <n v="388000"/>
    <n v="17666"/>
    <n v="1224"/>
    <x v="8"/>
    <x v="1"/>
    <n v="235786"/>
    <n v="255491"/>
    <x v="8"/>
    <n v="90492"/>
  </r>
  <r>
    <x v="9"/>
    <n v="0.21299999999999999"/>
    <n v="0.13300000000000001"/>
    <x v="3"/>
    <n v="1597000"/>
    <n v="8847000"/>
    <n v="1531714"/>
    <n v="1428712"/>
    <x v="9"/>
    <x v="0"/>
    <n v="3104996"/>
    <n v="3644673"/>
    <x v="9"/>
    <n v="4149593"/>
  </r>
  <r>
    <x v="10"/>
    <n v="0.19700000000000001"/>
    <n v="0.13900000000000001"/>
    <x v="8"/>
    <n v="581000"/>
    <n v="5240000"/>
    <n v="478016"/>
    <n v="427353"/>
    <x v="10"/>
    <x v="0"/>
    <n v="1535090"/>
    <n v="1782301"/>
    <x v="10"/>
    <n v="1574058"/>
  </r>
  <r>
    <x v="11"/>
    <n v="7.9000000000000001E-2"/>
    <n v="0.04"/>
    <x v="9"/>
    <n v="54000"/>
    <n v="867000"/>
    <n v="13313"/>
    <n v="10958"/>
    <x v="11"/>
    <x v="1"/>
    <n v="288357"/>
    <n v="341200"/>
    <x v="11"/>
    <n v="252514"/>
  </r>
  <r>
    <x v="12"/>
    <n v="0.17699999999999999"/>
    <n v="0.11"/>
    <x v="10"/>
    <n v="109000"/>
    <n v="836000"/>
    <n v="94270"/>
    <n v="82802"/>
    <x v="12"/>
    <x v="0"/>
    <n v="238150"/>
    <n v="293905"/>
    <x v="12"/>
    <n v="294284"/>
  </r>
  <r>
    <x v="13"/>
    <n v="0.13800000000000001"/>
    <n v="7.0999999999999994E-2"/>
    <x v="10"/>
    <n v="850000"/>
    <n v="7359000"/>
    <n v="335243"/>
    <n v="259701"/>
    <x v="13"/>
    <x v="1"/>
    <n v="2626943"/>
    <n v="3117939"/>
    <x v="13"/>
    <n v="2118300"/>
  </r>
  <r>
    <x v="14"/>
    <n v="0.14799999999999999"/>
    <n v="9.6000000000000002E-2"/>
    <x v="11"/>
    <n v="339000"/>
    <n v="3825000"/>
    <n v="168884"/>
    <n v="139437"/>
    <x v="14"/>
    <x v="1"/>
    <n v="1120674"/>
    <n v="1489805"/>
    <x v="14"/>
    <n v="1181014"/>
  </r>
  <r>
    <x v="15"/>
    <n v="9.2999999999999999E-2"/>
    <n v="0.05"/>
    <x v="12"/>
    <n v="132000"/>
    <n v="1862000"/>
    <n v="48949"/>
    <n v="42595"/>
    <x v="15"/>
    <x v="1"/>
    <n v="493515"/>
    <n v="619055"/>
    <x v="15"/>
    <n v="587780"/>
  </r>
  <r>
    <x v="16"/>
    <n v="0.13900000000000001"/>
    <n v="9.0999999999999998E-2"/>
    <x v="13"/>
    <n v="137000"/>
    <n v="1659000"/>
    <n v="89566"/>
    <n v="75815"/>
    <x v="16"/>
    <x v="0"/>
    <n v="378160"/>
    <n v="421638"/>
    <x v="16"/>
    <n v="499753"/>
  </r>
  <r>
    <x v="17"/>
    <n v="0.153"/>
    <n v="0.06"/>
    <x v="14"/>
    <n v="404000"/>
    <n v="2316000"/>
    <n v="74640"/>
    <n v="56488"/>
    <x v="17"/>
    <x v="1"/>
    <n v="606805"/>
    <n v="1220788"/>
    <x v="17"/>
    <n v="881938"/>
  </r>
  <r>
    <x v="18"/>
    <n v="0.17799999999999999"/>
    <n v="0.11899999999999999"/>
    <x v="15"/>
    <n v="269000"/>
    <n v="2295000"/>
    <n v="184403"/>
    <n v="170806"/>
    <x v="18"/>
    <x v="1"/>
    <n v="1019787"/>
    <n v="1328708"/>
    <x v="18"/>
    <n v="817272"/>
  </r>
  <r>
    <x v="19"/>
    <n v="0.10100000000000001"/>
    <n v="8.4000000000000005E-2"/>
    <x v="16"/>
    <n v="22000"/>
    <n v="702000"/>
    <n v="75240"/>
    <n v="63896"/>
    <x v="19"/>
    <x v="0"/>
    <m/>
    <n v="273160"/>
    <x v="6"/>
    <n v="315160"/>
  </r>
  <r>
    <x v="20"/>
    <n v="0.113"/>
    <n v="6.6000000000000003E-2"/>
    <x v="17"/>
    <n v="278000"/>
    <n v="3700000"/>
    <n v="135208"/>
    <n v="100844"/>
    <x v="20"/>
    <x v="1"/>
    <n v="856297"/>
    <n v="1252304"/>
    <x v="19"/>
    <n v="960848"/>
  </r>
  <r>
    <x v="21"/>
    <n v="4.3999999999999997E-2"/>
    <n v="2.8000000000000001E-2"/>
    <x v="18"/>
    <n v="107000"/>
    <n v="4232000"/>
    <n v="207121"/>
    <n v="157751"/>
    <x v="21"/>
    <x v="1"/>
    <n v="1296359"/>
    <n v="1684328"/>
    <x v="20"/>
    <n v="1252277"/>
  </r>
  <r>
    <x v="22"/>
    <n v="0.124"/>
    <n v="6.0999999999999999E-2"/>
    <x v="19"/>
    <n v="618000"/>
    <n v="5876000"/>
    <n v="313123"/>
    <n v="275080"/>
    <x v="22"/>
    <x v="1"/>
    <n v="1912009"/>
    <n v="2300958"/>
    <x v="21"/>
    <n v="1947787"/>
  </r>
  <r>
    <x v="23"/>
    <n v="9.0999999999999998E-2"/>
    <n v="4.4999999999999998E-2"/>
    <x v="20"/>
    <n v="250000"/>
    <n v="3319000"/>
    <n v="74060"/>
    <n v="47266"/>
    <x v="23"/>
    <x v="1"/>
    <n v="873040"/>
    <n v="1051509"/>
    <x v="22"/>
    <n v="944222"/>
  </r>
  <r>
    <x v="24"/>
    <n v="0.182"/>
    <n v="0.127"/>
    <x v="21"/>
    <n v="161000"/>
    <n v="1326000"/>
    <n v="77747"/>
    <n v="73246"/>
    <x v="3"/>
    <x v="0"/>
    <n v="637229"/>
    <n v="693869"/>
    <x v="23"/>
    <n v="571699"/>
  </r>
  <r>
    <x v="25"/>
    <n v="0.13200000000000001"/>
    <n v="9.8000000000000004E-2"/>
    <x v="22"/>
    <n v="203000"/>
    <n v="3389000"/>
    <n v="252044"/>
    <n v="225878"/>
    <x v="24"/>
    <x v="0"/>
    <n v="846084"/>
    <n v="967284"/>
    <x v="24"/>
    <n v="1163543"/>
  </r>
  <r>
    <x v="26"/>
    <n v="0.17299999999999999"/>
    <n v="0.11600000000000001"/>
    <x v="23"/>
    <n v="58000"/>
    <n v="510000"/>
    <n v="51758"/>
    <n v="44091"/>
    <x v="3"/>
    <x v="1"/>
    <n v="148974"/>
    <n v="224048"/>
    <x v="25"/>
    <n v="209389"/>
  </r>
  <r>
    <x v="27"/>
    <n v="0.115"/>
    <n v="8.2000000000000003E-2"/>
    <x v="24"/>
    <n v="62000"/>
    <n v="1100000"/>
    <n v="80213"/>
    <n v="72091"/>
    <x v="25"/>
    <x v="0"/>
    <n v="244600"/>
    <n v="242702"/>
    <x v="26"/>
    <n v="322796"/>
  </r>
  <r>
    <x v="28"/>
    <n v="0.22600000000000001"/>
    <n v="0.123"/>
    <x v="25"/>
    <n v="294000"/>
    <n v="1505000"/>
    <n v="79876"/>
    <n v="71472"/>
    <x v="26"/>
    <x v="1"/>
    <n v="332560"/>
    <n v="614298"/>
    <x v="27"/>
    <n v="471747"/>
  </r>
  <r>
    <x v="29"/>
    <n v="0.111"/>
    <n v="6.3E-2"/>
    <x v="13"/>
    <n v="63000"/>
    <n v="853000"/>
    <n v="49114"/>
    <n v="31151"/>
    <x v="27"/>
    <x v="1"/>
    <n v="127082"/>
    <n v="189429"/>
    <x v="28"/>
    <n v="275803"/>
  </r>
  <r>
    <x v="30"/>
    <n v="0.13200000000000001"/>
    <n v="8.6999999999999994E-2"/>
    <x v="0"/>
    <n v="398000"/>
    <n v="5450000"/>
    <n v="249395"/>
    <n v="205242"/>
    <x v="28"/>
    <x v="1"/>
    <n v="1283851"/>
    <n v="1784529"/>
    <x v="29"/>
    <n v="1528961"/>
  </r>
  <r>
    <x v="31"/>
    <n v="0.19600000000000001"/>
    <n v="0.109"/>
    <x v="26"/>
    <n v="178000"/>
    <n v="884000"/>
    <n v="47497"/>
    <n v="32703"/>
    <x v="29"/>
    <x v="1"/>
    <n v="457678"/>
    <n v="766732"/>
    <x v="30"/>
    <n v="385918"/>
  </r>
  <r>
    <x v="32"/>
    <n v="0.11899999999999999"/>
    <n v="7.0999999999999994E-2"/>
    <x v="13"/>
    <n v="939000"/>
    <n v="10895000"/>
    <n v="224014"/>
    <n v="123830"/>
    <x v="30"/>
    <x v="1"/>
    <n v="5678417"/>
    <n v="6431165"/>
    <x v="31"/>
    <n v="3424666"/>
  </r>
  <r>
    <x v="33"/>
    <n v="0.16800000000000001"/>
    <n v="0.112"/>
    <x v="27"/>
    <n v="552000"/>
    <n v="4934000"/>
    <n v="545354"/>
    <n v="499178"/>
    <x v="31"/>
    <x v="0"/>
    <n v="1595952"/>
    <n v="2072282"/>
    <x v="32"/>
    <n v="1823454"/>
  </r>
  <r>
    <x v="34"/>
    <n v="9.8000000000000004E-2"/>
    <n v="7.8E-2"/>
    <x v="28"/>
    <n v="15000"/>
    <n v="450000"/>
    <n v="20536"/>
    <n v="17630"/>
    <x v="32"/>
    <x v="1"/>
    <n v="69980"/>
    <n v="89763"/>
    <x v="33"/>
    <n v="122294"/>
  </r>
  <r>
    <x v="35"/>
    <n v="0.123"/>
    <n v="6.5000000000000002E-2"/>
    <x v="8"/>
    <n v="664000"/>
    <n v="6831000"/>
    <n v="212046"/>
    <n v="174448"/>
    <x v="33"/>
    <x v="1"/>
    <n v="2341481"/>
    <n v="3003170"/>
    <x v="34"/>
    <n v="2208504"/>
  </r>
  <r>
    <x v="36"/>
    <n v="0.189"/>
    <n v="0.13900000000000001"/>
    <x v="1"/>
    <n v="192000"/>
    <n v="1948000"/>
    <n v="130178"/>
    <n v="113209"/>
    <x v="34"/>
    <x v="0"/>
    <n v="790051"/>
    <n v="788544"/>
    <x v="35"/>
    <n v="693677"/>
  </r>
  <r>
    <x v="37"/>
    <n v="0.17100000000000001"/>
    <n v="7.0000000000000007E-2"/>
    <x v="29"/>
    <n v="403000"/>
    <n v="2070000"/>
    <n v="131167"/>
    <n v="95507"/>
    <x v="35"/>
    <x v="1"/>
    <n v="626356"/>
    <n v="1021862"/>
    <x v="36"/>
    <n v="784032"/>
  </r>
  <r>
    <x v="38"/>
    <n v="0.10199999999999999"/>
    <n v="6.4000000000000001E-2"/>
    <x v="7"/>
    <n v="479000"/>
    <n v="7502000"/>
    <n v="412347"/>
    <n v="321345"/>
    <x v="36"/>
    <x v="1"/>
    <n v="2386046"/>
    <n v="2883114"/>
    <x v="37"/>
    <n v="2588577"/>
  </r>
  <r>
    <x v="39"/>
    <n v="0.122"/>
    <n v="5.7000000000000002E-2"/>
    <x v="30"/>
    <n v="68000"/>
    <n v="597000"/>
    <n v="35583"/>
    <n v="30015"/>
    <x v="33"/>
    <x v="1"/>
    <n v="190833"/>
    <n v="287173"/>
    <x v="38"/>
    <n v="208324"/>
  </r>
  <r>
    <x v="40"/>
    <n v="0.17499999999999999"/>
    <n v="0.109"/>
    <x v="31"/>
    <n v="317000"/>
    <n v="2487000"/>
    <n v="204846"/>
    <n v="186345"/>
    <x v="37"/>
    <x v="0"/>
    <n v="889744"/>
    <n v="994804"/>
    <x v="39"/>
    <n v="974114"/>
  </r>
  <r>
    <x v="41"/>
    <n v="0.124"/>
    <n v="0.10199999999999999"/>
    <x v="32"/>
    <n v="19000"/>
    <n v="449000"/>
    <n v="24578"/>
    <n v="22005"/>
    <x v="15"/>
    <x v="0"/>
    <n v="115501"/>
    <n v="119835"/>
    <x v="40"/>
    <n v="161464"/>
  </r>
  <r>
    <x v="42"/>
    <n v="0.14399999999999999"/>
    <n v="0.10299999999999999"/>
    <x v="33"/>
    <n v="266000"/>
    <n v="3369000"/>
    <n v="231705"/>
    <n v="203112"/>
    <x v="38"/>
    <x v="0"/>
    <n v="1244516"/>
    <n v="1627100"/>
    <x v="41"/>
    <n v="1266920"/>
  </r>
  <r>
    <x v="43"/>
    <n v="0.23699999999999999"/>
    <n v="0.17100000000000001"/>
    <x v="31"/>
    <n v="1781000"/>
    <n v="13709000"/>
    <n v="1092650"/>
    <n v="913177"/>
    <x v="39"/>
    <x v="0"/>
    <n v="4441605"/>
    <n v="4770229"/>
    <x v="42"/>
    <n v="3765946"/>
  </r>
  <r>
    <x v="44"/>
    <n v="0.153"/>
    <n v="0.105"/>
    <x v="13"/>
    <n v="143000"/>
    <n v="1897000"/>
    <n v="164415"/>
    <n v="145288"/>
    <x v="40"/>
    <x v="0"/>
    <n v="294029"/>
    <n v="314182"/>
    <x v="43"/>
    <n v="358887"/>
  </r>
  <r>
    <x v="45"/>
    <n v="0.08"/>
    <n v="3.7999999999999999E-2"/>
    <x v="34"/>
    <n v="26000"/>
    <n v="345000"/>
    <n v="27883"/>
    <n v="19575"/>
    <x v="41"/>
    <x v="1"/>
    <n v="161081"/>
    <n v="175597"/>
    <x v="44"/>
    <n v="136021"/>
  </r>
  <r>
    <x v="46"/>
    <n v="0.13100000000000001"/>
    <n v="9.0999999999999998E-2"/>
    <x v="35"/>
    <n v="327000"/>
    <n v="4850000"/>
    <n v="378838"/>
    <n v="319068"/>
    <x v="42"/>
    <x v="0"/>
    <n v="935434"/>
    <n v="988821"/>
    <x v="45"/>
    <n v="1392261"/>
  </r>
  <r>
    <x v="47"/>
    <n v="0.14199999999999999"/>
    <n v="6.6000000000000003E-2"/>
    <x v="36"/>
    <n v="537000"/>
    <n v="3986000"/>
    <n v="158245"/>
    <n v="110476"/>
    <x v="43"/>
    <x v="1"/>
    <n v="1117576"/>
    <n v="1788536"/>
    <x v="46"/>
    <n v="1238649"/>
  </r>
  <r>
    <x v="48"/>
    <n v="0.14599999999999999"/>
    <n v="0.06"/>
    <x v="37"/>
    <n v="156000"/>
    <n v="976000"/>
    <n v="33235"/>
    <n v="29163"/>
    <x v="44"/>
    <x v="1"/>
    <n v="354544"/>
    <n v="575645"/>
    <x v="47"/>
    <n v="423500"/>
  </r>
  <r>
    <x v="49"/>
    <n v="9.4E-2"/>
    <n v="5.7000000000000002E-2"/>
    <x v="38"/>
    <n v="211000"/>
    <n v="3521000"/>
    <n v="224208"/>
    <n v="190542"/>
    <x v="45"/>
    <x v="0"/>
    <n v="985531"/>
    <n v="1046897"/>
    <x v="48"/>
    <n v="1084854"/>
  </r>
  <r>
    <x v="50"/>
    <n v="0.14899999999999999"/>
    <n v="0.115"/>
    <x v="22"/>
    <n v="20000"/>
    <n v="335000"/>
    <n v="22076"/>
    <n v="20313"/>
    <x v="46"/>
    <x v="0"/>
    <n v="67518"/>
    <n v="63583"/>
    <x v="49"/>
    <n v="99128"/>
  </r>
  <r>
    <x v="51"/>
    <n v="0.155"/>
    <n v="9.4E-2"/>
    <x v="39"/>
    <n v="19304000"/>
    <n v="172292000"/>
    <n v="11081330"/>
    <n v="9389609"/>
    <x v="10"/>
    <x v="2"/>
    <n v="56392477"/>
    <n v="73532931"/>
    <x v="50"/>
    <n v="57149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4" firstHeaderRow="0" firstDataRow="1" firstDataCol="0" rowPageCount="1" colPageCount="1"/>
  <pivotFields count="16">
    <pivotField axis="axisPage"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1"/>
        <item x="44"/>
        <item x="45"/>
        <item x="46"/>
        <item x="47"/>
        <item x="48"/>
        <item x="49"/>
        <item x="50"/>
        <item t="default"/>
      </items>
    </pivotField>
    <pivotField dataField="1" showAll="0"/>
    <pivotField dataField="1" showAll="0"/>
    <pivotField showAll="0"/>
    <pivotField showAll="0"/>
    <pivotField showAll="0"/>
    <pivotField showAll="0"/>
    <pivotField showAll="0"/>
    <pivotField numFmtId="6"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0" item="44" hier="-1"/>
  </pageFields>
  <dataFields count="2">
    <dataField name="Sum of Uninsured Rate (2010)" fld="1" baseField="0" baseItem="1" numFmtId="10"/>
    <dataField name="Sum of Uninsured Rate (2015)" fld="2" baseField="0" baseItem="1"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3:B9" firstHeaderRow="1" firstDataRow="1" firstDataCol="1"/>
  <pivotFields count="16">
    <pivotField axis="axisRow" multipleItemSelectionAllowed="1" showAll="0" measureFilter="1" sortType="ascending">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1"/>
        <item x="44"/>
        <item x="45"/>
        <item x="46"/>
        <item x="47"/>
        <item x="48"/>
        <item x="49"/>
        <item x="5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numFmtId="6"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0"/>
  </rowFields>
  <rowItems count="6">
    <i>
      <x v="28"/>
    </i>
    <i>
      <x v="37"/>
    </i>
    <i>
      <x v="4"/>
    </i>
    <i>
      <x v="17"/>
    </i>
    <i>
      <x v="31"/>
    </i>
    <i t="grand">
      <x/>
    </i>
  </rowItems>
  <colItems count="1">
    <i/>
  </colItems>
  <dataFields count="1">
    <dataField name="Average of Uninsured Rate Change (2010-2015)" fld="3" subtotal="average"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C5" firstHeaderRow="0" firstDataRow="1" firstDataCol="1"/>
  <pivotFields count="16">
    <pivotField showAll="0">
      <items count="53">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51"/>
        <item h="1" x="44"/>
        <item h="1" x="45"/>
        <item h="1" x="46"/>
        <item h="1" x="47"/>
        <item h="1" x="48"/>
        <item h="1" x="49"/>
        <item h="1" x="50"/>
        <item t="default"/>
      </items>
    </pivotField>
    <pivotField showAll="0"/>
    <pivotField showAll="0"/>
    <pivotField dataField="1" showAll="0">
      <items count="41">
        <item x="25"/>
        <item x="29"/>
        <item x="4"/>
        <item x="14"/>
        <item x="26"/>
        <item x="37"/>
        <item x="3"/>
        <item x="5"/>
        <item x="36"/>
        <item x="10"/>
        <item x="31"/>
        <item x="30"/>
        <item x="19"/>
        <item x="2"/>
        <item x="15"/>
        <item x="8"/>
        <item x="23"/>
        <item x="27"/>
        <item x="21"/>
        <item x="11"/>
        <item x="1"/>
        <item x="13"/>
        <item x="17"/>
        <item x="20"/>
        <item x="0"/>
        <item x="12"/>
        <item x="34"/>
        <item x="33"/>
        <item x="35"/>
        <item x="9"/>
        <item x="7"/>
        <item x="38"/>
        <item x="22"/>
        <item x="24"/>
        <item x="6"/>
        <item x="32"/>
        <item x="28"/>
        <item x="16"/>
        <item x="18"/>
        <item x="39"/>
        <item t="default"/>
      </items>
    </pivotField>
    <pivotField showAll="0"/>
    <pivotField showAll="0"/>
    <pivotField showAll="0"/>
    <pivotField showAll="0"/>
    <pivotField numFmtId="6" showAll="0">
      <items count="48">
        <item x="30"/>
        <item x="8"/>
        <item x="40"/>
        <item x="21"/>
        <item x="23"/>
        <item x="29"/>
        <item x="2"/>
        <item x="22"/>
        <item x="13"/>
        <item x="43"/>
        <item x="20"/>
        <item x="16"/>
        <item x="36"/>
        <item x="33"/>
        <item x="35"/>
        <item x="17"/>
        <item x="14"/>
        <item x="27"/>
        <item x="32"/>
        <item x="12"/>
        <item x="26"/>
        <item x="11"/>
        <item x="39"/>
        <item x="42"/>
        <item x="10"/>
        <item x="25"/>
        <item x="34"/>
        <item x="38"/>
        <item x="41"/>
        <item x="9"/>
        <item x="3"/>
        <item x="15"/>
        <item x="4"/>
        <item x="0"/>
        <item x="37"/>
        <item x="24"/>
        <item x="5"/>
        <item x="28"/>
        <item x="7"/>
        <item x="45"/>
        <item x="19"/>
        <item x="6"/>
        <item x="18"/>
        <item x="44"/>
        <item x="31"/>
        <item x="46"/>
        <item x="1"/>
        <item t="default"/>
      </items>
    </pivotField>
    <pivotField axis="axisRow" showAll="0">
      <items count="4">
        <item x="0"/>
        <item x="1"/>
        <item x="2"/>
        <item t="default"/>
      </items>
    </pivotField>
    <pivotField showAll="0"/>
    <pivotField showAll="0"/>
    <pivotField dataField="1" showAll="0">
      <items count="52">
        <item x="49"/>
        <item x="26"/>
        <item x="35"/>
        <item x="40"/>
        <item x="7"/>
        <item x="44"/>
        <item x="8"/>
        <item x="33"/>
        <item x="43"/>
        <item x="16"/>
        <item x="1"/>
        <item x="11"/>
        <item x="45"/>
        <item x="12"/>
        <item x="23"/>
        <item x="48"/>
        <item x="28"/>
        <item x="25"/>
        <item x="38"/>
        <item x="39"/>
        <item x="0"/>
        <item x="24"/>
        <item x="15"/>
        <item x="22"/>
        <item x="47"/>
        <item x="10"/>
        <item x="27"/>
        <item x="18"/>
        <item x="30"/>
        <item x="42"/>
        <item x="3"/>
        <item x="14"/>
        <item x="41"/>
        <item x="20"/>
        <item x="21"/>
        <item x="36"/>
        <item x="19"/>
        <item x="32"/>
        <item x="13"/>
        <item x="37"/>
        <item x="29"/>
        <item x="2"/>
        <item x="9"/>
        <item x="5"/>
        <item x="17"/>
        <item x="34"/>
        <item x="46"/>
        <item x="31"/>
        <item x="4"/>
        <item x="50"/>
        <item x="6"/>
        <item t="default"/>
      </items>
    </pivotField>
    <pivotField showAll="0"/>
    <pivotField dragToRow="0" dragToCol="0" dragToPage="0" showAll="0" defaultSubtotal="0"/>
    <pivotField dragToRow="0" dragToCol="0" dragToPage="0" showAll="0" defaultSubtotal="0"/>
  </pivotFields>
  <rowFields count="1">
    <field x="9"/>
  </rowFields>
  <rowItems count="2">
    <i>
      <x v="1"/>
    </i>
    <i t="grand">
      <x/>
    </i>
  </rowItems>
  <colFields count="1">
    <field x="-2"/>
  </colFields>
  <colItems count="2">
    <i>
      <x/>
    </i>
    <i i="1">
      <x v="1"/>
    </i>
  </colItems>
  <dataFields count="2">
    <dataField name="Average of Uninsured Rate Change (2010-2015)" fld="3" subtotal="average" baseField="9" baseItem="0"/>
    <dataField name="Average of Medicaid Enrollment Change (2013-2016)" fld="12" subtotal="average" baseField="9"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9" firstHeaderRow="0" firstDataRow="1" firstDataCol="1"/>
  <pivotFields count="16">
    <pivotField axis="axisRow" showAll="0" measureFilter="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1"/>
        <item x="44"/>
        <item x="45"/>
        <item x="46"/>
        <item x="47"/>
        <item x="48"/>
        <item x="49"/>
        <item x="50"/>
        <item t="default"/>
      </items>
    </pivotField>
    <pivotField showAll="0"/>
    <pivotField showAll="0"/>
    <pivotField showAll="0"/>
    <pivotField showAll="0"/>
    <pivotField dataField="1" showAll="0"/>
    <pivotField dataField="1" showAll="0"/>
    <pivotField showAll="0"/>
    <pivotField numFmtId="6" showAll="0"/>
    <pivotField showAll="0">
      <items count="4">
        <item x="0"/>
        <item x="1"/>
        <item x="2"/>
        <item t="default"/>
      </items>
    </pivotField>
    <pivotField showAll="0"/>
    <pivotField showAll="0"/>
    <pivotField showAll="0">
      <items count="52">
        <item x="49"/>
        <item x="26"/>
        <item x="35"/>
        <item x="40"/>
        <item x="7"/>
        <item x="44"/>
        <item x="8"/>
        <item x="33"/>
        <item x="43"/>
        <item x="16"/>
        <item x="1"/>
        <item x="11"/>
        <item x="45"/>
        <item x="12"/>
        <item x="23"/>
        <item x="48"/>
        <item x="28"/>
        <item x="25"/>
        <item x="38"/>
        <item x="39"/>
        <item x="0"/>
        <item x="24"/>
        <item x="15"/>
        <item x="22"/>
        <item x="47"/>
        <item x="10"/>
        <item x="27"/>
        <item x="18"/>
        <item x="30"/>
        <item x="42"/>
        <item x="3"/>
        <item x="14"/>
        <item x="41"/>
        <item x="20"/>
        <item x="21"/>
        <item x="36"/>
        <item x="19"/>
        <item x="32"/>
        <item x="13"/>
        <item x="37"/>
        <item x="29"/>
        <item x="2"/>
        <item x="9"/>
        <item x="5"/>
        <item x="17"/>
        <item x="34"/>
        <item x="46"/>
        <item x="31"/>
        <item x="4"/>
        <item x="50"/>
        <item x="6"/>
        <item t="default"/>
      </items>
    </pivotField>
    <pivotField showAll="0"/>
    <pivotField dragToRow="0" dragToCol="0" dragToPage="0" showAll="0" defaultSubtotal="0"/>
    <pivotField dragToRow="0" dragToCol="0" dragToPage="0" showAll="0" defaultSubtotal="0"/>
  </pivotFields>
  <rowFields count="1">
    <field x="0"/>
  </rowFields>
  <rowItems count="6">
    <i>
      <x v="4"/>
    </i>
    <i>
      <x v="9"/>
    </i>
    <i>
      <x v="32"/>
    </i>
    <i>
      <x v="43"/>
    </i>
    <i>
      <x v="44"/>
    </i>
    <i t="grand">
      <x/>
    </i>
  </rowItems>
  <colFields count="1">
    <field x="-2"/>
  </colFields>
  <colItems count="2">
    <i>
      <x/>
    </i>
    <i i="1">
      <x v="1"/>
    </i>
  </colItems>
  <dataFields count="2">
    <dataField name="Sum of Employer Health Insurance Coverage (2015)" fld="5" baseField="0" baseItem="0"/>
    <dataField name="Sum of Marketplace Health Insurance Coverage (2016)"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C56" firstHeaderRow="0" firstDataRow="1" firstDataCol="1"/>
  <pivotFields count="16">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1"/>
        <item x="44"/>
        <item x="45"/>
        <item x="46"/>
        <item x="47"/>
        <item x="48"/>
        <item x="49"/>
        <item x="50"/>
        <item t="default"/>
      </items>
    </pivotField>
    <pivotField showAll="0"/>
    <pivotField showAll="0"/>
    <pivotField showAll="0"/>
    <pivotField showAll="0"/>
    <pivotField showAll="0"/>
    <pivotField showAll="0"/>
    <pivotField showAll="0"/>
    <pivotField dataField="1" numFmtId="6"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2"/>
  </colFields>
  <colItems count="2">
    <i>
      <x/>
    </i>
    <i i="1">
      <x v="1"/>
    </i>
  </colItems>
  <dataFields count="2">
    <dataField name="Average of Average Monthly Tax Credit (2016)" fld="8" subtotal="average" baseField="0" baseItem="0"/>
    <dataField name="Average of Credit Usage Rate" fld="14" subtotal="average" baseField="0" baseItem="1"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14" firstHeaderRow="0" firstDataRow="1" firstDataCol="1"/>
  <pivotFields count="16">
    <pivotField axis="axisRow" showAll="0" measureFilter="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1"/>
        <item x="44"/>
        <item x="45"/>
        <item x="46"/>
        <item x="47"/>
        <item x="48"/>
        <item x="49"/>
        <item x="50"/>
        <item t="default"/>
      </items>
    </pivotField>
    <pivotField showAll="0"/>
    <pivotField dataField="1" showAll="0"/>
    <pivotField dataField="1" showAll="0"/>
    <pivotField showAll="0"/>
    <pivotField showAll="0"/>
    <pivotField showAll="0"/>
    <pivotField showAll="0"/>
    <pivotField numFmtId="6"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0"/>
  </rowFields>
  <rowItems count="11">
    <i>
      <x v="1"/>
    </i>
    <i>
      <x v="9"/>
    </i>
    <i>
      <x v="10"/>
    </i>
    <i>
      <x v="18"/>
    </i>
    <i>
      <x v="24"/>
    </i>
    <i>
      <x v="26"/>
    </i>
    <i>
      <x v="28"/>
    </i>
    <i>
      <x v="36"/>
    </i>
    <i>
      <x v="43"/>
    </i>
    <i>
      <x v="51"/>
    </i>
    <i t="grand">
      <x/>
    </i>
  </rowItems>
  <colFields count="1">
    <field x="-2"/>
  </colFields>
  <colItems count="2">
    <i>
      <x/>
    </i>
    <i i="1">
      <x v="1"/>
    </i>
  </colItems>
  <dataFields count="2">
    <dataField name="Average of Uninsured Rate (2015)" fld="2" subtotal="average" baseField="0" baseItem="0"/>
    <dataField name="Average of Uninsured Rate Change (2010-2015)" fld="3" subtotal="average" baseField="0" baseItem="0"/>
  </dataField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0" count="1" selected="0">
            <x v="1"/>
          </reference>
        </references>
      </pivotArea>
    </chartFormat>
    <chartFormat chart="3" format="26">
      <pivotArea type="data" outline="0" fieldPosition="0">
        <references count="2">
          <reference field="4294967294" count="1" selected="0">
            <x v="0"/>
          </reference>
          <reference field="0" count="1" selected="0">
            <x v="9"/>
          </reference>
        </references>
      </pivotArea>
    </chartFormat>
    <chartFormat chart="3" format="27">
      <pivotArea type="data" outline="0" fieldPosition="0">
        <references count="2">
          <reference field="4294967294" count="1" selected="0">
            <x v="0"/>
          </reference>
          <reference field="0" count="1" selected="0">
            <x v="10"/>
          </reference>
        </references>
      </pivotArea>
    </chartFormat>
    <chartFormat chart="3" format="28">
      <pivotArea type="data" outline="0" fieldPosition="0">
        <references count="2">
          <reference field="4294967294" count="1" selected="0">
            <x v="0"/>
          </reference>
          <reference field="0" count="1" selected="0">
            <x v="18"/>
          </reference>
        </references>
      </pivotArea>
    </chartFormat>
    <chartFormat chart="3" format="29">
      <pivotArea type="data" outline="0" fieldPosition="0">
        <references count="2">
          <reference field="4294967294" count="1" selected="0">
            <x v="0"/>
          </reference>
          <reference field="0" count="1" selected="0">
            <x v="24"/>
          </reference>
        </references>
      </pivotArea>
    </chartFormat>
    <chartFormat chart="3" format="30">
      <pivotArea type="data" outline="0" fieldPosition="0">
        <references count="2">
          <reference field="4294967294" count="1" selected="0">
            <x v="0"/>
          </reference>
          <reference field="0" count="1" selected="0">
            <x v="26"/>
          </reference>
        </references>
      </pivotArea>
    </chartFormat>
    <chartFormat chart="3" format="31">
      <pivotArea type="data" outline="0" fieldPosition="0">
        <references count="2">
          <reference field="4294967294" count="1" selected="0">
            <x v="0"/>
          </reference>
          <reference field="0" count="1" selected="0">
            <x v="28"/>
          </reference>
        </references>
      </pivotArea>
    </chartFormat>
    <chartFormat chart="3" format="32">
      <pivotArea type="data" outline="0" fieldPosition="0">
        <references count="2">
          <reference field="4294967294" count="1" selected="0">
            <x v="0"/>
          </reference>
          <reference field="0" count="1" selected="0">
            <x v="36"/>
          </reference>
        </references>
      </pivotArea>
    </chartFormat>
    <chartFormat chart="3" format="33">
      <pivotArea type="data" outline="0" fieldPosition="0">
        <references count="2">
          <reference field="4294967294" count="1" selected="0">
            <x v="0"/>
          </reference>
          <reference field="0" count="1" selected="0">
            <x v="43"/>
          </reference>
        </references>
      </pivotArea>
    </chartFormat>
    <chartFormat chart="3" format="34">
      <pivotArea type="data" outline="0" fieldPosition="0">
        <references count="2">
          <reference field="4294967294" count="1" selected="0">
            <x v="0"/>
          </reference>
          <reference field="0" count="1" selected="0">
            <x v="51"/>
          </reference>
        </references>
      </pivotArea>
    </chartFormat>
    <chartFormat chart="3" format="35" series="1">
      <pivotArea type="data" outline="0" fieldPosition="0">
        <references count="1">
          <reference field="4294967294" count="1" selected="0">
            <x v="1"/>
          </reference>
        </references>
      </pivotArea>
    </chartFormat>
    <chartFormat chart="3" format="36">
      <pivotArea type="data" outline="0" fieldPosition="0">
        <references count="2">
          <reference field="4294967294" count="1" selected="0">
            <x v="1"/>
          </reference>
          <reference field="0" count="1" selected="0">
            <x v="1"/>
          </reference>
        </references>
      </pivotArea>
    </chartFormat>
    <chartFormat chart="3" format="37">
      <pivotArea type="data" outline="0" fieldPosition="0">
        <references count="2">
          <reference field="4294967294" count="1" selected="0">
            <x v="1"/>
          </reference>
          <reference field="0" count="1" selected="0">
            <x v="9"/>
          </reference>
        </references>
      </pivotArea>
    </chartFormat>
    <chartFormat chart="3" format="38">
      <pivotArea type="data" outline="0" fieldPosition="0">
        <references count="2">
          <reference field="4294967294" count="1" selected="0">
            <x v="1"/>
          </reference>
          <reference field="0" count="1" selected="0">
            <x v="10"/>
          </reference>
        </references>
      </pivotArea>
    </chartFormat>
    <chartFormat chart="3" format="39">
      <pivotArea type="data" outline="0" fieldPosition="0">
        <references count="2">
          <reference field="4294967294" count="1" selected="0">
            <x v="1"/>
          </reference>
          <reference field="0" count="1" selected="0">
            <x v="18"/>
          </reference>
        </references>
      </pivotArea>
    </chartFormat>
    <chartFormat chart="3" format="40">
      <pivotArea type="data" outline="0" fieldPosition="0">
        <references count="2">
          <reference field="4294967294" count="1" selected="0">
            <x v="1"/>
          </reference>
          <reference field="0" count="1" selected="0">
            <x v="24"/>
          </reference>
        </references>
      </pivotArea>
    </chartFormat>
    <chartFormat chart="3" format="41">
      <pivotArea type="data" outline="0" fieldPosition="0">
        <references count="2">
          <reference field="4294967294" count="1" selected="0">
            <x v="1"/>
          </reference>
          <reference field="0" count="1" selected="0">
            <x v="26"/>
          </reference>
        </references>
      </pivotArea>
    </chartFormat>
    <chartFormat chart="3" format="42">
      <pivotArea type="data" outline="0" fieldPosition="0">
        <references count="2">
          <reference field="4294967294" count="1" selected="0">
            <x v="1"/>
          </reference>
          <reference field="0" count="1" selected="0">
            <x v="28"/>
          </reference>
        </references>
      </pivotArea>
    </chartFormat>
    <chartFormat chart="3" format="43">
      <pivotArea type="data" outline="0" fieldPosition="0">
        <references count="2">
          <reference field="4294967294" count="1" selected="0">
            <x v="1"/>
          </reference>
          <reference field="0" count="1" selected="0">
            <x v="36"/>
          </reference>
        </references>
      </pivotArea>
    </chartFormat>
    <chartFormat chart="3" format="44">
      <pivotArea type="data" outline="0" fieldPosition="0">
        <references count="2">
          <reference field="4294967294" count="1" selected="0">
            <x v="1"/>
          </reference>
          <reference field="0" count="1" selected="0">
            <x v="43"/>
          </reference>
        </references>
      </pivotArea>
    </chartFormat>
    <chartFormat chart="3" format="45">
      <pivotArea type="data" outline="0" fieldPosition="0">
        <references count="2">
          <reference field="4294967294" count="1" selected="0">
            <x v="1"/>
          </reference>
          <reference field="0" count="1" selected="0">
            <x v="5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9"/>
          </reference>
        </references>
      </pivotArea>
    </chartFormat>
    <chartFormat chart="0" format="4">
      <pivotArea type="data" outline="0" fieldPosition="0">
        <references count="2">
          <reference field="4294967294" count="1" selected="0">
            <x v="0"/>
          </reference>
          <reference field="0" count="1" selected="0">
            <x v="10"/>
          </reference>
        </references>
      </pivotArea>
    </chartFormat>
    <chartFormat chart="0" format="5">
      <pivotArea type="data" outline="0" fieldPosition="0">
        <references count="2">
          <reference field="4294967294" count="1" selected="0">
            <x v="0"/>
          </reference>
          <reference field="0" count="1" selected="0">
            <x v="18"/>
          </reference>
        </references>
      </pivotArea>
    </chartFormat>
    <chartFormat chart="0" format="6">
      <pivotArea type="data" outline="0" fieldPosition="0">
        <references count="2">
          <reference field="4294967294" count="1" selected="0">
            <x v="0"/>
          </reference>
          <reference field="0" count="1" selected="0">
            <x v="24"/>
          </reference>
        </references>
      </pivotArea>
    </chartFormat>
    <chartFormat chart="0" format="7">
      <pivotArea type="data" outline="0" fieldPosition="0">
        <references count="2">
          <reference field="4294967294" count="1" selected="0">
            <x v="0"/>
          </reference>
          <reference field="0" count="1" selected="0">
            <x v="26"/>
          </reference>
        </references>
      </pivotArea>
    </chartFormat>
    <chartFormat chart="0" format="8">
      <pivotArea type="data" outline="0" fieldPosition="0">
        <references count="2">
          <reference field="4294967294" count="1" selected="0">
            <x v="0"/>
          </reference>
          <reference field="0" count="1" selected="0">
            <x v="28"/>
          </reference>
        </references>
      </pivotArea>
    </chartFormat>
    <chartFormat chart="0" format="9">
      <pivotArea type="data" outline="0" fieldPosition="0">
        <references count="2">
          <reference field="4294967294" count="1" selected="0">
            <x v="0"/>
          </reference>
          <reference field="0" count="1" selected="0">
            <x v="36"/>
          </reference>
        </references>
      </pivotArea>
    </chartFormat>
    <chartFormat chart="0" format="10">
      <pivotArea type="data" outline="0" fieldPosition="0">
        <references count="2">
          <reference field="4294967294" count="1" selected="0">
            <x v="0"/>
          </reference>
          <reference field="0" count="1" selected="0">
            <x v="43"/>
          </reference>
        </references>
      </pivotArea>
    </chartFormat>
    <chartFormat chart="0" format="11">
      <pivotArea type="data" outline="0" fieldPosition="0">
        <references count="2">
          <reference field="4294967294" count="1" selected="0">
            <x v="0"/>
          </reference>
          <reference field="0" count="1" selected="0">
            <x v="51"/>
          </reference>
        </references>
      </pivotArea>
    </chartFormat>
    <chartFormat chart="0" format="12">
      <pivotArea type="data" outline="0" fieldPosition="0">
        <references count="2">
          <reference field="4294967294" count="1" selected="0">
            <x v="1"/>
          </reference>
          <reference field="0" count="1" selected="0">
            <x v="1"/>
          </reference>
        </references>
      </pivotArea>
    </chartFormat>
    <chartFormat chart="0" format="13">
      <pivotArea type="data" outline="0" fieldPosition="0">
        <references count="2">
          <reference field="4294967294" count="1" selected="0">
            <x v="1"/>
          </reference>
          <reference field="0" count="1" selected="0">
            <x v="9"/>
          </reference>
        </references>
      </pivotArea>
    </chartFormat>
    <chartFormat chart="0" format="14">
      <pivotArea type="data" outline="0" fieldPosition="0">
        <references count="2">
          <reference field="4294967294" count="1" selected="0">
            <x v="1"/>
          </reference>
          <reference field="0" count="1" selected="0">
            <x v="10"/>
          </reference>
        </references>
      </pivotArea>
    </chartFormat>
    <chartFormat chart="0" format="15">
      <pivotArea type="data" outline="0" fieldPosition="0">
        <references count="2">
          <reference field="4294967294" count="1" selected="0">
            <x v="1"/>
          </reference>
          <reference field="0" count="1" selected="0">
            <x v="18"/>
          </reference>
        </references>
      </pivotArea>
    </chartFormat>
    <chartFormat chart="0" format="16">
      <pivotArea type="data" outline="0" fieldPosition="0">
        <references count="2">
          <reference field="4294967294" count="1" selected="0">
            <x v="1"/>
          </reference>
          <reference field="0" count="1" selected="0">
            <x v="24"/>
          </reference>
        </references>
      </pivotArea>
    </chartFormat>
    <chartFormat chart="0" format="17">
      <pivotArea type="data" outline="0" fieldPosition="0">
        <references count="2">
          <reference field="4294967294" count="1" selected="0">
            <x v="1"/>
          </reference>
          <reference field="0" count="1" selected="0">
            <x v="26"/>
          </reference>
        </references>
      </pivotArea>
    </chartFormat>
    <chartFormat chart="0" format="18">
      <pivotArea type="data" outline="0" fieldPosition="0">
        <references count="2">
          <reference field="4294967294" count="1" selected="0">
            <x v="1"/>
          </reference>
          <reference field="0" count="1" selected="0">
            <x v="28"/>
          </reference>
        </references>
      </pivotArea>
    </chartFormat>
    <chartFormat chart="0" format="19">
      <pivotArea type="data" outline="0" fieldPosition="0">
        <references count="2">
          <reference field="4294967294" count="1" selected="0">
            <x v="1"/>
          </reference>
          <reference field="0" count="1" selected="0">
            <x v="36"/>
          </reference>
        </references>
      </pivotArea>
    </chartFormat>
    <chartFormat chart="0" format="20">
      <pivotArea type="data" outline="0" fieldPosition="0">
        <references count="2">
          <reference field="4294967294" count="1" selected="0">
            <x v="1"/>
          </reference>
          <reference field="0" count="1" selected="0">
            <x v="43"/>
          </reference>
        </references>
      </pivotArea>
    </chartFormat>
    <chartFormat chart="0" format="21">
      <pivotArea type="data" outline="0" fieldPosition="0">
        <references count="2">
          <reference field="4294967294" count="1" selected="0">
            <x v="1"/>
          </reference>
          <reference field="0" count="1" selected="0">
            <x v="5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56" firstHeaderRow="1" firstDataRow="1" firstDataCol="1"/>
  <pivotFields count="16">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1"/>
        <item x="44"/>
        <item x="45"/>
        <item x="46"/>
        <item x="47"/>
        <item x="48"/>
        <item x="49"/>
        <item x="50"/>
        <item t="default"/>
      </items>
    </pivotField>
    <pivotField showAll="0"/>
    <pivotField showAll="0"/>
    <pivotField showAll="0"/>
    <pivotField showAll="0"/>
    <pivotField showAll="0"/>
    <pivotField showAll="0"/>
    <pivotField showAll="0"/>
    <pivotField numFmtId="6"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Average of Medicaid to Medicare Ratio" fld="15" subtotal="average" baseField="0" baseItem="2"/>
  </dataFields>
  <chartFormats count="106">
    <chartFormat chart="0" format="0" series="1">
      <pivotArea type="data" outline="0" fieldPosition="0">
        <references count="1">
          <reference field="4294967294" count="1" selected="0">
            <x v="0"/>
          </reference>
        </references>
      </pivotArea>
    </chartFormat>
    <chartFormat chart="3" format="54" series="1">
      <pivotArea type="data" outline="0" fieldPosition="0">
        <references count="1">
          <reference field="4294967294" count="1" selected="0">
            <x v="0"/>
          </reference>
        </references>
      </pivotArea>
    </chartFormat>
    <chartFormat chart="3" format="55">
      <pivotArea type="data" outline="0" fieldPosition="0">
        <references count="2">
          <reference field="4294967294" count="1" selected="0">
            <x v="0"/>
          </reference>
          <reference field="0" count="1" selected="0">
            <x v="0"/>
          </reference>
        </references>
      </pivotArea>
    </chartFormat>
    <chartFormat chart="3" format="56">
      <pivotArea type="data" outline="0" fieldPosition="0">
        <references count="2">
          <reference field="4294967294" count="1" selected="0">
            <x v="0"/>
          </reference>
          <reference field="0" count="1" selected="0">
            <x v="1"/>
          </reference>
        </references>
      </pivotArea>
    </chartFormat>
    <chartFormat chart="3" format="57">
      <pivotArea type="data" outline="0" fieldPosition="0">
        <references count="2">
          <reference field="4294967294" count="1" selected="0">
            <x v="0"/>
          </reference>
          <reference field="0" count="1" selected="0">
            <x v="2"/>
          </reference>
        </references>
      </pivotArea>
    </chartFormat>
    <chartFormat chart="3" format="58">
      <pivotArea type="data" outline="0" fieldPosition="0">
        <references count="2">
          <reference field="4294967294" count="1" selected="0">
            <x v="0"/>
          </reference>
          <reference field="0" count="1" selected="0">
            <x v="3"/>
          </reference>
        </references>
      </pivotArea>
    </chartFormat>
    <chartFormat chart="3" format="59">
      <pivotArea type="data" outline="0" fieldPosition="0">
        <references count="2">
          <reference field="4294967294" count="1" selected="0">
            <x v="0"/>
          </reference>
          <reference field="0" count="1" selected="0">
            <x v="4"/>
          </reference>
        </references>
      </pivotArea>
    </chartFormat>
    <chartFormat chart="3" format="60">
      <pivotArea type="data" outline="0" fieldPosition="0">
        <references count="2">
          <reference field="4294967294" count="1" selected="0">
            <x v="0"/>
          </reference>
          <reference field="0" count="1" selected="0">
            <x v="5"/>
          </reference>
        </references>
      </pivotArea>
    </chartFormat>
    <chartFormat chart="3" format="61">
      <pivotArea type="data" outline="0" fieldPosition="0">
        <references count="2">
          <reference field="4294967294" count="1" selected="0">
            <x v="0"/>
          </reference>
          <reference field="0" count="1" selected="0">
            <x v="6"/>
          </reference>
        </references>
      </pivotArea>
    </chartFormat>
    <chartFormat chart="3" format="62">
      <pivotArea type="data" outline="0" fieldPosition="0">
        <references count="2">
          <reference field="4294967294" count="1" selected="0">
            <x v="0"/>
          </reference>
          <reference field="0" count="1" selected="0">
            <x v="7"/>
          </reference>
        </references>
      </pivotArea>
    </chartFormat>
    <chartFormat chart="3" format="63">
      <pivotArea type="data" outline="0" fieldPosition="0">
        <references count="2">
          <reference field="4294967294" count="1" selected="0">
            <x v="0"/>
          </reference>
          <reference field="0" count="1" selected="0">
            <x v="8"/>
          </reference>
        </references>
      </pivotArea>
    </chartFormat>
    <chartFormat chart="3" format="64">
      <pivotArea type="data" outline="0" fieldPosition="0">
        <references count="2">
          <reference field="4294967294" count="1" selected="0">
            <x v="0"/>
          </reference>
          <reference field="0" count="1" selected="0">
            <x v="9"/>
          </reference>
        </references>
      </pivotArea>
    </chartFormat>
    <chartFormat chart="3" format="65">
      <pivotArea type="data" outline="0" fieldPosition="0">
        <references count="2">
          <reference field="4294967294" count="1" selected="0">
            <x v="0"/>
          </reference>
          <reference field="0" count="1" selected="0">
            <x v="10"/>
          </reference>
        </references>
      </pivotArea>
    </chartFormat>
    <chartFormat chart="3" format="66">
      <pivotArea type="data" outline="0" fieldPosition="0">
        <references count="2">
          <reference field="4294967294" count="1" selected="0">
            <x v="0"/>
          </reference>
          <reference field="0" count="1" selected="0">
            <x v="11"/>
          </reference>
        </references>
      </pivotArea>
    </chartFormat>
    <chartFormat chart="3" format="67">
      <pivotArea type="data" outline="0" fieldPosition="0">
        <references count="2">
          <reference field="4294967294" count="1" selected="0">
            <x v="0"/>
          </reference>
          <reference field="0" count="1" selected="0">
            <x v="12"/>
          </reference>
        </references>
      </pivotArea>
    </chartFormat>
    <chartFormat chart="3" format="68">
      <pivotArea type="data" outline="0" fieldPosition="0">
        <references count="2">
          <reference field="4294967294" count="1" selected="0">
            <x v="0"/>
          </reference>
          <reference field="0" count="1" selected="0">
            <x v="13"/>
          </reference>
        </references>
      </pivotArea>
    </chartFormat>
    <chartFormat chart="3" format="69">
      <pivotArea type="data" outline="0" fieldPosition="0">
        <references count="2">
          <reference field="4294967294" count="1" selected="0">
            <x v="0"/>
          </reference>
          <reference field="0" count="1" selected="0">
            <x v="14"/>
          </reference>
        </references>
      </pivotArea>
    </chartFormat>
    <chartFormat chart="3" format="70">
      <pivotArea type="data" outline="0" fieldPosition="0">
        <references count="2">
          <reference field="4294967294" count="1" selected="0">
            <x v="0"/>
          </reference>
          <reference field="0" count="1" selected="0">
            <x v="15"/>
          </reference>
        </references>
      </pivotArea>
    </chartFormat>
    <chartFormat chart="3" format="71">
      <pivotArea type="data" outline="0" fieldPosition="0">
        <references count="2">
          <reference field="4294967294" count="1" selected="0">
            <x v="0"/>
          </reference>
          <reference field="0" count="1" selected="0">
            <x v="16"/>
          </reference>
        </references>
      </pivotArea>
    </chartFormat>
    <chartFormat chart="3" format="72">
      <pivotArea type="data" outline="0" fieldPosition="0">
        <references count="2">
          <reference field="4294967294" count="1" selected="0">
            <x v="0"/>
          </reference>
          <reference field="0" count="1" selected="0">
            <x v="17"/>
          </reference>
        </references>
      </pivotArea>
    </chartFormat>
    <chartFormat chart="3" format="73">
      <pivotArea type="data" outline="0" fieldPosition="0">
        <references count="2">
          <reference field="4294967294" count="1" selected="0">
            <x v="0"/>
          </reference>
          <reference field="0" count="1" selected="0">
            <x v="18"/>
          </reference>
        </references>
      </pivotArea>
    </chartFormat>
    <chartFormat chart="3" format="74">
      <pivotArea type="data" outline="0" fieldPosition="0">
        <references count="2">
          <reference field="4294967294" count="1" selected="0">
            <x v="0"/>
          </reference>
          <reference field="0" count="1" selected="0">
            <x v="19"/>
          </reference>
        </references>
      </pivotArea>
    </chartFormat>
    <chartFormat chart="3" format="75">
      <pivotArea type="data" outline="0" fieldPosition="0">
        <references count="2">
          <reference field="4294967294" count="1" selected="0">
            <x v="0"/>
          </reference>
          <reference field="0" count="1" selected="0">
            <x v="20"/>
          </reference>
        </references>
      </pivotArea>
    </chartFormat>
    <chartFormat chart="3" format="76">
      <pivotArea type="data" outline="0" fieldPosition="0">
        <references count="2">
          <reference field="4294967294" count="1" selected="0">
            <x v="0"/>
          </reference>
          <reference field="0" count="1" selected="0">
            <x v="21"/>
          </reference>
        </references>
      </pivotArea>
    </chartFormat>
    <chartFormat chart="3" format="77">
      <pivotArea type="data" outline="0" fieldPosition="0">
        <references count="2">
          <reference field="4294967294" count="1" selected="0">
            <x v="0"/>
          </reference>
          <reference field="0" count="1" selected="0">
            <x v="22"/>
          </reference>
        </references>
      </pivotArea>
    </chartFormat>
    <chartFormat chart="3" format="78">
      <pivotArea type="data" outline="0" fieldPosition="0">
        <references count="2">
          <reference field="4294967294" count="1" selected="0">
            <x v="0"/>
          </reference>
          <reference field="0" count="1" selected="0">
            <x v="23"/>
          </reference>
        </references>
      </pivotArea>
    </chartFormat>
    <chartFormat chart="3" format="79">
      <pivotArea type="data" outline="0" fieldPosition="0">
        <references count="2">
          <reference field="4294967294" count="1" selected="0">
            <x v="0"/>
          </reference>
          <reference field="0" count="1" selected="0">
            <x v="24"/>
          </reference>
        </references>
      </pivotArea>
    </chartFormat>
    <chartFormat chart="3" format="80">
      <pivotArea type="data" outline="0" fieldPosition="0">
        <references count="2">
          <reference field="4294967294" count="1" selected="0">
            <x v="0"/>
          </reference>
          <reference field="0" count="1" selected="0">
            <x v="25"/>
          </reference>
        </references>
      </pivotArea>
    </chartFormat>
    <chartFormat chart="3" format="81">
      <pivotArea type="data" outline="0" fieldPosition="0">
        <references count="2">
          <reference field="4294967294" count="1" selected="0">
            <x v="0"/>
          </reference>
          <reference field="0" count="1" selected="0">
            <x v="26"/>
          </reference>
        </references>
      </pivotArea>
    </chartFormat>
    <chartFormat chart="3" format="82">
      <pivotArea type="data" outline="0" fieldPosition="0">
        <references count="2">
          <reference field="4294967294" count="1" selected="0">
            <x v="0"/>
          </reference>
          <reference field="0" count="1" selected="0">
            <x v="27"/>
          </reference>
        </references>
      </pivotArea>
    </chartFormat>
    <chartFormat chart="3" format="83">
      <pivotArea type="data" outline="0" fieldPosition="0">
        <references count="2">
          <reference field="4294967294" count="1" selected="0">
            <x v="0"/>
          </reference>
          <reference field="0" count="1" selected="0">
            <x v="28"/>
          </reference>
        </references>
      </pivotArea>
    </chartFormat>
    <chartFormat chart="3" format="84">
      <pivotArea type="data" outline="0" fieldPosition="0">
        <references count="2">
          <reference field="4294967294" count="1" selected="0">
            <x v="0"/>
          </reference>
          <reference field="0" count="1" selected="0">
            <x v="29"/>
          </reference>
        </references>
      </pivotArea>
    </chartFormat>
    <chartFormat chart="3" format="85">
      <pivotArea type="data" outline="0" fieldPosition="0">
        <references count="2">
          <reference field="4294967294" count="1" selected="0">
            <x v="0"/>
          </reference>
          <reference field="0" count="1" selected="0">
            <x v="30"/>
          </reference>
        </references>
      </pivotArea>
    </chartFormat>
    <chartFormat chart="3" format="86">
      <pivotArea type="data" outline="0" fieldPosition="0">
        <references count="2">
          <reference field="4294967294" count="1" selected="0">
            <x v="0"/>
          </reference>
          <reference field="0" count="1" selected="0">
            <x v="31"/>
          </reference>
        </references>
      </pivotArea>
    </chartFormat>
    <chartFormat chart="3" format="87">
      <pivotArea type="data" outline="0" fieldPosition="0">
        <references count="2">
          <reference field="4294967294" count="1" selected="0">
            <x v="0"/>
          </reference>
          <reference field="0" count="1" selected="0">
            <x v="32"/>
          </reference>
        </references>
      </pivotArea>
    </chartFormat>
    <chartFormat chart="3" format="88">
      <pivotArea type="data" outline="0" fieldPosition="0">
        <references count="2">
          <reference field="4294967294" count="1" selected="0">
            <x v="0"/>
          </reference>
          <reference field="0" count="1" selected="0">
            <x v="33"/>
          </reference>
        </references>
      </pivotArea>
    </chartFormat>
    <chartFormat chart="3" format="89">
      <pivotArea type="data" outline="0" fieldPosition="0">
        <references count="2">
          <reference field="4294967294" count="1" selected="0">
            <x v="0"/>
          </reference>
          <reference field="0" count="1" selected="0">
            <x v="34"/>
          </reference>
        </references>
      </pivotArea>
    </chartFormat>
    <chartFormat chart="3" format="90">
      <pivotArea type="data" outline="0" fieldPosition="0">
        <references count="2">
          <reference field="4294967294" count="1" selected="0">
            <x v="0"/>
          </reference>
          <reference field="0" count="1" selected="0">
            <x v="35"/>
          </reference>
        </references>
      </pivotArea>
    </chartFormat>
    <chartFormat chart="3" format="91">
      <pivotArea type="data" outline="0" fieldPosition="0">
        <references count="2">
          <reference field="4294967294" count="1" selected="0">
            <x v="0"/>
          </reference>
          <reference field="0" count="1" selected="0">
            <x v="36"/>
          </reference>
        </references>
      </pivotArea>
    </chartFormat>
    <chartFormat chart="3" format="92">
      <pivotArea type="data" outline="0" fieldPosition="0">
        <references count="2">
          <reference field="4294967294" count="1" selected="0">
            <x v="0"/>
          </reference>
          <reference field="0" count="1" selected="0">
            <x v="37"/>
          </reference>
        </references>
      </pivotArea>
    </chartFormat>
    <chartFormat chart="3" format="93">
      <pivotArea type="data" outline="0" fieldPosition="0">
        <references count="2">
          <reference field="4294967294" count="1" selected="0">
            <x v="0"/>
          </reference>
          <reference field="0" count="1" selected="0">
            <x v="38"/>
          </reference>
        </references>
      </pivotArea>
    </chartFormat>
    <chartFormat chart="3" format="94">
      <pivotArea type="data" outline="0" fieldPosition="0">
        <references count="2">
          <reference field="4294967294" count="1" selected="0">
            <x v="0"/>
          </reference>
          <reference field="0" count="1" selected="0">
            <x v="39"/>
          </reference>
        </references>
      </pivotArea>
    </chartFormat>
    <chartFormat chart="3" format="95">
      <pivotArea type="data" outline="0" fieldPosition="0">
        <references count="2">
          <reference field="4294967294" count="1" selected="0">
            <x v="0"/>
          </reference>
          <reference field="0" count="1" selected="0">
            <x v="40"/>
          </reference>
        </references>
      </pivotArea>
    </chartFormat>
    <chartFormat chart="3" format="96">
      <pivotArea type="data" outline="0" fieldPosition="0">
        <references count="2">
          <reference field="4294967294" count="1" selected="0">
            <x v="0"/>
          </reference>
          <reference field="0" count="1" selected="0">
            <x v="41"/>
          </reference>
        </references>
      </pivotArea>
    </chartFormat>
    <chartFormat chart="3" format="97">
      <pivotArea type="data" outline="0" fieldPosition="0">
        <references count="2">
          <reference field="4294967294" count="1" selected="0">
            <x v="0"/>
          </reference>
          <reference field="0" count="1" selected="0">
            <x v="42"/>
          </reference>
        </references>
      </pivotArea>
    </chartFormat>
    <chartFormat chart="3" format="98">
      <pivotArea type="data" outline="0" fieldPosition="0">
        <references count="2">
          <reference field="4294967294" count="1" selected="0">
            <x v="0"/>
          </reference>
          <reference field="0" count="1" selected="0">
            <x v="43"/>
          </reference>
        </references>
      </pivotArea>
    </chartFormat>
    <chartFormat chart="3" format="99">
      <pivotArea type="data" outline="0" fieldPosition="0">
        <references count="2">
          <reference field="4294967294" count="1" selected="0">
            <x v="0"/>
          </reference>
          <reference field="0" count="1" selected="0">
            <x v="44"/>
          </reference>
        </references>
      </pivotArea>
    </chartFormat>
    <chartFormat chart="3" format="100">
      <pivotArea type="data" outline="0" fieldPosition="0">
        <references count="2">
          <reference field="4294967294" count="1" selected="0">
            <x v="0"/>
          </reference>
          <reference field="0" count="1" selected="0">
            <x v="45"/>
          </reference>
        </references>
      </pivotArea>
    </chartFormat>
    <chartFormat chart="3" format="101">
      <pivotArea type="data" outline="0" fieldPosition="0">
        <references count="2">
          <reference field="4294967294" count="1" selected="0">
            <x v="0"/>
          </reference>
          <reference field="0" count="1" selected="0">
            <x v="46"/>
          </reference>
        </references>
      </pivotArea>
    </chartFormat>
    <chartFormat chart="3" format="102">
      <pivotArea type="data" outline="0" fieldPosition="0">
        <references count="2">
          <reference field="4294967294" count="1" selected="0">
            <x v="0"/>
          </reference>
          <reference field="0" count="1" selected="0">
            <x v="47"/>
          </reference>
        </references>
      </pivotArea>
    </chartFormat>
    <chartFormat chart="3" format="103">
      <pivotArea type="data" outline="0" fieldPosition="0">
        <references count="2">
          <reference field="4294967294" count="1" selected="0">
            <x v="0"/>
          </reference>
          <reference field="0" count="1" selected="0">
            <x v="48"/>
          </reference>
        </references>
      </pivotArea>
    </chartFormat>
    <chartFormat chart="3" format="104">
      <pivotArea type="data" outline="0" fieldPosition="0">
        <references count="2">
          <reference field="4294967294" count="1" selected="0">
            <x v="0"/>
          </reference>
          <reference field="0" count="1" selected="0">
            <x v="49"/>
          </reference>
        </references>
      </pivotArea>
    </chartFormat>
    <chartFormat chart="3" format="105">
      <pivotArea type="data" outline="0" fieldPosition="0">
        <references count="2">
          <reference field="4294967294" count="1" selected="0">
            <x v="0"/>
          </reference>
          <reference field="0" count="1" selected="0">
            <x v="50"/>
          </reference>
        </references>
      </pivotArea>
    </chartFormat>
    <chartFormat chart="3" format="106">
      <pivotArea type="data" outline="0" fieldPosition="0">
        <references count="2">
          <reference field="4294967294" count="1" selected="0">
            <x v="0"/>
          </reference>
          <reference field="0" count="1" selected="0">
            <x v="5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0" format="17">
      <pivotArea type="data" outline="0" fieldPosition="0">
        <references count="2">
          <reference field="4294967294" count="1" selected="0">
            <x v="0"/>
          </reference>
          <reference field="0" count="1" selected="0">
            <x v="16"/>
          </reference>
        </references>
      </pivotArea>
    </chartFormat>
    <chartFormat chart="0" format="18">
      <pivotArea type="data" outline="0" fieldPosition="0">
        <references count="2">
          <reference field="4294967294" count="1" selected="0">
            <x v="0"/>
          </reference>
          <reference field="0" count="1" selected="0">
            <x v="17"/>
          </reference>
        </references>
      </pivotArea>
    </chartFormat>
    <chartFormat chart="0" format="19">
      <pivotArea type="data" outline="0" fieldPosition="0">
        <references count="2">
          <reference field="4294967294" count="1" selected="0">
            <x v="0"/>
          </reference>
          <reference field="0" count="1" selected="0">
            <x v="18"/>
          </reference>
        </references>
      </pivotArea>
    </chartFormat>
    <chartFormat chart="0" format="20">
      <pivotArea type="data" outline="0" fieldPosition="0">
        <references count="2">
          <reference field="4294967294" count="1" selected="0">
            <x v="0"/>
          </reference>
          <reference field="0" count="1" selected="0">
            <x v="19"/>
          </reference>
        </references>
      </pivotArea>
    </chartFormat>
    <chartFormat chart="0" format="21">
      <pivotArea type="data" outline="0" fieldPosition="0">
        <references count="2">
          <reference field="4294967294" count="1" selected="0">
            <x v="0"/>
          </reference>
          <reference field="0" count="1" selected="0">
            <x v="20"/>
          </reference>
        </references>
      </pivotArea>
    </chartFormat>
    <chartFormat chart="0" format="22">
      <pivotArea type="data" outline="0" fieldPosition="0">
        <references count="2">
          <reference field="4294967294" count="1" selected="0">
            <x v="0"/>
          </reference>
          <reference field="0" count="1" selected="0">
            <x v="21"/>
          </reference>
        </references>
      </pivotArea>
    </chartFormat>
    <chartFormat chart="0" format="23">
      <pivotArea type="data" outline="0" fieldPosition="0">
        <references count="2">
          <reference field="4294967294" count="1" selected="0">
            <x v="0"/>
          </reference>
          <reference field="0" count="1" selected="0">
            <x v="22"/>
          </reference>
        </references>
      </pivotArea>
    </chartFormat>
    <chartFormat chart="0" format="24">
      <pivotArea type="data" outline="0" fieldPosition="0">
        <references count="2">
          <reference field="4294967294" count="1" selected="0">
            <x v="0"/>
          </reference>
          <reference field="0" count="1" selected="0">
            <x v="23"/>
          </reference>
        </references>
      </pivotArea>
    </chartFormat>
    <chartFormat chart="0" format="25">
      <pivotArea type="data" outline="0" fieldPosition="0">
        <references count="2">
          <reference field="4294967294" count="1" selected="0">
            <x v="0"/>
          </reference>
          <reference field="0" count="1" selected="0">
            <x v="24"/>
          </reference>
        </references>
      </pivotArea>
    </chartFormat>
    <chartFormat chart="0" format="26">
      <pivotArea type="data" outline="0" fieldPosition="0">
        <references count="2">
          <reference field="4294967294" count="1" selected="0">
            <x v="0"/>
          </reference>
          <reference field="0" count="1" selected="0">
            <x v="25"/>
          </reference>
        </references>
      </pivotArea>
    </chartFormat>
    <chartFormat chart="0" format="27">
      <pivotArea type="data" outline="0" fieldPosition="0">
        <references count="2">
          <reference field="4294967294" count="1" selected="0">
            <x v="0"/>
          </reference>
          <reference field="0" count="1" selected="0">
            <x v="26"/>
          </reference>
        </references>
      </pivotArea>
    </chartFormat>
    <chartFormat chart="0" format="28">
      <pivotArea type="data" outline="0" fieldPosition="0">
        <references count="2">
          <reference field="4294967294" count="1" selected="0">
            <x v="0"/>
          </reference>
          <reference field="0" count="1" selected="0">
            <x v="27"/>
          </reference>
        </references>
      </pivotArea>
    </chartFormat>
    <chartFormat chart="0" format="29">
      <pivotArea type="data" outline="0" fieldPosition="0">
        <references count="2">
          <reference field="4294967294" count="1" selected="0">
            <x v="0"/>
          </reference>
          <reference field="0" count="1" selected="0">
            <x v="28"/>
          </reference>
        </references>
      </pivotArea>
    </chartFormat>
    <chartFormat chart="0" format="30">
      <pivotArea type="data" outline="0" fieldPosition="0">
        <references count="2">
          <reference field="4294967294" count="1" selected="0">
            <x v="0"/>
          </reference>
          <reference field="0" count="1" selected="0">
            <x v="29"/>
          </reference>
        </references>
      </pivotArea>
    </chartFormat>
    <chartFormat chart="0" format="31">
      <pivotArea type="data" outline="0" fieldPosition="0">
        <references count="2">
          <reference field="4294967294" count="1" selected="0">
            <x v="0"/>
          </reference>
          <reference field="0" count="1" selected="0">
            <x v="30"/>
          </reference>
        </references>
      </pivotArea>
    </chartFormat>
    <chartFormat chart="0" format="32">
      <pivotArea type="data" outline="0" fieldPosition="0">
        <references count="2">
          <reference field="4294967294" count="1" selected="0">
            <x v="0"/>
          </reference>
          <reference field="0" count="1" selected="0">
            <x v="31"/>
          </reference>
        </references>
      </pivotArea>
    </chartFormat>
    <chartFormat chart="0" format="33">
      <pivotArea type="data" outline="0" fieldPosition="0">
        <references count="2">
          <reference field="4294967294" count="1" selected="0">
            <x v="0"/>
          </reference>
          <reference field="0" count="1" selected="0">
            <x v="32"/>
          </reference>
        </references>
      </pivotArea>
    </chartFormat>
    <chartFormat chart="0" format="34">
      <pivotArea type="data" outline="0" fieldPosition="0">
        <references count="2">
          <reference field="4294967294" count="1" selected="0">
            <x v="0"/>
          </reference>
          <reference field="0" count="1" selected="0">
            <x v="33"/>
          </reference>
        </references>
      </pivotArea>
    </chartFormat>
    <chartFormat chart="0" format="35">
      <pivotArea type="data" outline="0" fieldPosition="0">
        <references count="2">
          <reference field="4294967294" count="1" selected="0">
            <x v="0"/>
          </reference>
          <reference field="0" count="1" selected="0">
            <x v="34"/>
          </reference>
        </references>
      </pivotArea>
    </chartFormat>
    <chartFormat chart="0" format="36">
      <pivotArea type="data" outline="0" fieldPosition="0">
        <references count="2">
          <reference field="4294967294" count="1" selected="0">
            <x v="0"/>
          </reference>
          <reference field="0" count="1" selected="0">
            <x v="35"/>
          </reference>
        </references>
      </pivotArea>
    </chartFormat>
    <chartFormat chart="0" format="37">
      <pivotArea type="data" outline="0" fieldPosition="0">
        <references count="2">
          <reference field="4294967294" count="1" selected="0">
            <x v="0"/>
          </reference>
          <reference field="0" count="1" selected="0">
            <x v="36"/>
          </reference>
        </references>
      </pivotArea>
    </chartFormat>
    <chartFormat chart="0" format="38">
      <pivotArea type="data" outline="0" fieldPosition="0">
        <references count="2">
          <reference field="4294967294" count="1" selected="0">
            <x v="0"/>
          </reference>
          <reference field="0" count="1" selected="0">
            <x v="37"/>
          </reference>
        </references>
      </pivotArea>
    </chartFormat>
    <chartFormat chart="0" format="39">
      <pivotArea type="data" outline="0" fieldPosition="0">
        <references count="2">
          <reference field="4294967294" count="1" selected="0">
            <x v="0"/>
          </reference>
          <reference field="0" count="1" selected="0">
            <x v="38"/>
          </reference>
        </references>
      </pivotArea>
    </chartFormat>
    <chartFormat chart="0" format="40">
      <pivotArea type="data" outline="0" fieldPosition="0">
        <references count="2">
          <reference field="4294967294" count="1" selected="0">
            <x v="0"/>
          </reference>
          <reference field="0" count="1" selected="0">
            <x v="39"/>
          </reference>
        </references>
      </pivotArea>
    </chartFormat>
    <chartFormat chart="0" format="41">
      <pivotArea type="data" outline="0" fieldPosition="0">
        <references count="2">
          <reference field="4294967294" count="1" selected="0">
            <x v="0"/>
          </reference>
          <reference field="0" count="1" selected="0">
            <x v="40"/>
          </reference>
        </references>
      </pivotArea>
    </chartFormat>
    <chartFormat chart="0" format="42">
      <pivotArea type="data" outline="0" fieldPosition="0">
        <references count="2">
          <reference field="4294967294" count="1" selected="0">
            <x v="0"/>
          </reference>
          <reference field="0" count="1" selected="0">
            <x v="41"/>
          </reference>
        </references>
      </pivotArea>
    </chartFormat>
    <chartFormat chart="0" format="43">
      <pivotArea type="data" outline="0" fieldPosition="0">
        <references count="2">
          <reference field="4294967294" count="1" selected="0">
            <x v="0"/>
          </reference>
          <reference field="0" count="1" selected="0">
            <x v="42"/>
          </reference>
        </references>
      </pivotArea>
    </chartFormat>
    <chartFormat chart="0" format="44">
      <pivotArea type="data" outline="0" fieldPosition="0">
        <references count="2">
          <reference field="4294967294" count="1" selected="0">
            <x v="0"/>
          </reference>
          <reference field="0" count="1" selected="0">
            <x v="43"/>
          </reference>
        </references>
      </pivotArea>
    </chartFormat>
    <chartFormat chart="0" format="45">
      <pivotArea type="data" outline="0" fieldPosition="0">
        <references count="2">
          <reference field="4294967294" count="1" selected="0">
            <x v="0"/>
          </reference>
          <reference field="0" count="1" selected="0">
            <x v="44"/>
          </reference>
        </references>
      </pivotArea>
    </chartFormat>
    <chartFormat chart="0" format="46">
      <pivotArea type="data" outline="0" fieldPosition="0">
        <references count="2">
          <reference field="4294967294" count="1" selected="0">
            <x v="0"/>
          </reference>
          <reference field="0" count="1" selected="0">
            <x v="45"/>
          </reference>
        </references>
      </pivotArea>
    </chartFormat>
    <chartFormat chart="0" format="47">
      <pivotArea type="data" outline="0" fieldPosition="0">
        <references count="2">
          <reference field="4294967294" count="1" selected="0">
            <x v="0"/>
          </reference>
          <reference field="0" count="1" selected="0">
            <x v="46"/>
          </reference>
        </references>
      </pivotArea>
    </chartFormat>
    <chartFormat chart="0" format="48">
      <pivotArea type="data" outline="0" fieldPosition="0">
        <references count="2">
          <reference field="4294967294" count="1" selected="0">
            <x v="0"/>
          </reference>
          <reference field="0" count="1" selected="0">
            <x v="47"/>
          </reference>
        </references>
      </pivotArea>
    </chartFormat>
    <chartFormat chart="0" format="49">
      <pivotArea type="data" outline="0" fieldPosition="0">
        <references count="2">
          <reference field="4294967294" count="1" selected="0">
            <x v="0"/>
          </reference>
          <reference field="0" count="1" selected="0">
            <x v="48"/>
          </reference>
        </references>
      </pivotArea>
    </chartFormat>
    <chartFormat chart="0" format="50">
      <pivotArea type="data" outline="0" fieldPosition="0">
        <references count="2">
          <reference field="4294967294" count="1" selected="0">
            <x v="0"/>
          </reference>
          <reference field="0" count="1" selected="0">
            <x v="49"/>
          </reference>
        </references>
      </pivotArea>
    </chartFormat>
    <chartFormat chart="0" format="51">
      <pivotArea type="data" outline="0" fieldPosition="0">
        <references count="2">
          <reference field="4294967294" count="1" selected="0">
            <x v="0"/>
          </reference>
          <reference field="0" count="1" selected="0">
            <x v="50"/>
          </reference>
        </references>
      </pivotArea>
    </chartFormat>
    <chartFormat chart="0" format="52">
      <pivotArea type="data" outline="0" fieldPosition="0">
        <references count="2">
          <reference field="4294967294" count="1" selected="0">
            <x v="0"/>
          </reference>
          <reference field="0" count="1" selected="0">
            <x v="5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4"/>
  </pivotTables>
  <data>
    <tabular pivotCacheId="1">
      <items count="52">
        <i x="0"/>
        <i x="1" s="1"/>
        <i x="2"/>
        <i x="3"/>
        <i x="4"/>
        <i x="5"/>
        <i x="6"/>
        <i x="7"/>
        <i x="8"/>
        <i x="9"/>
        <i x="10"/>
        <i x="11"/>
        <i x="12"/>
        <i x="13"/>
        <i x="14"/>
        <i x="15"/>
        <i x="16"/>
        <i x="17"/>
        <i x="18"/>
        <i x="19"/>
        <i x="20"/>
        <i x="21"/>
        <i x="22"/>
        <i x="23"/>
        <i x="24"/>
        <i x="25"/>
        <i x="26"/>
        <i x="27"/>
        <i x="28"/>
        <i x="29"/>
        <i x="30"/>
        <i x="31"/>
        <i x="32"/>
        <i x="33"/>
        <i x="34"/>
        <i x="35"/>
        <i x="36"/>
        <i x="37"/>
        <i x="38"/>
        <i x="39"/>
        <i x="40"/>
        <i x="41"/>
        <i x="42"/>
        <i x="43"/>
        <i x="51"/>
        <i x="44"/>
        <i x="45"/>
        <i x="46"/>
        <i x="47"/>
        <i x="48"/>
        <i x="49"/>
        <i x="5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_Medicaid_Expansion__2016" sourceName="State Medicaid Expansion (2016)">
  <pivotTables>
    <pivotTable tabId="5" name="PivotTable4"/>
  </pivotTables>
  <data>
    <tabular pivotCacheId="1">
      <items count="3">
        <i x="1" s="1"/>
        <i x="0"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Uninsured_Rate_Change__2010_2015" sourceName="Uninsured Rate Change (2010-2015)">
  <pivotTables>
    <pivotTable tabId="5" name="PivotTable4"/>
  </pivotTables>
  <data>
    <tabular pivotCacheId="1">
      <items count="40">
        <i x="1" s="1"/>
        <i x="25" s="1" nd="1"/>
        <i x="29" s="1" nd="1"/>
        <i x="4" s="1" nd="1"/>
        <i x="14" s="1" nd="1"/>
        <i x="26" s="1" nd="1"/>
        <i x="37" s="1" nd="1"/>
        <i x="3" s="1" nd="1"/>
        <i x="5" s="1" nd="1"/>
        <i x="36" s="1" nd="1"/>
        <i x="10" s="1" nd="1"/>
        <i x="31" s="1" nd="1"/>
        <i x="30" s="1" nd="1"/>
        <i x="19" s="1" nd="1"/>
        <i x="2" s="1" nd="1"/>
        <i x="15" s="1" nd="1"/>
        <i x="8" s="1" nd="1"/>
        <i x="23" s="1" nd="1"/>
        <i x="27" s="1" nd="1"/>
        <i x="21" s="1" nd="1"/>
        <i x="11" s="1" nd="1"/>
        <i x="13" s="1" nd="1"/>
        <i x="17" s="1" nd="1"/>
        <i x="20" s="1" nd="1"/>
        <i x="0" s="1" nd="1"/>
        <i x="12" s="1" nd="1"/>
        <i x="34" s="1" nd="1"/>
        <i x="33" s="1" nd="1"/>
        <i x="35" s="1" nd="1"/>
        <i x="9" s="1" nd="1"/>
        <i x="7" s="1" nd="1"/>
        <i x="38" s="1" nd="1"/>
        <i x="22" s="1" nd="1"/>
        <i x="24" s="1" nd="1"/>
        <i x="6" s="1" nd="1"/>
        <i x="32" s="1" nd="1"/>
        <i x="28" s="1" nd="1"/>
        <i x="16" s="1" nd="1"/>
        <i x="18" s="1" nd="1"/>
        <i x="3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verage_Monthly_Tax_Credit__2016" sourceName="Average Monthly Tax Credit (2016)">
  <pivotTables>
    <pivotTable tabId="5" name="PivotTable4"/>
  </pivotTables>
  <data>
    <tabular pivotCacheId="1">
      <items count="47">
        <i x="1" s="1"/>
        <i x="30" s="1" nd="1"/>
        <i x="8" s="1" nd="1"/>
        <i x="40" s="1" nd="1"/>
        <i x="21" s="1" nd="1"/>
        <i x="23" s="1" nd="1"/>
        <i x="29" s="1" nd="1"/>
        <i x="2" s="1" nd="1"/>
        <i x="22" s="1" nd="1"/>
        <i x="13" s="1" nd="1"/>
        <i x="43" s="1" nd="1"/>
        <i x="20" s="1" nd="1"/>
        <i x="16" s="1" nd="1"/>
        <i x="36" s="1" nd="1"/>
        <i x="33" s="1" nd="1"/>
        <i x="35" s="1" nd="1"/>
        <i x="17" s="1" nd="1"/>
        <i x="14" s="1" nd="1"/>
        <i x="27" s="1" nd="1"/>
        <i x="32" s="1" nd="1"/>
        <i x="12" s="1" nd="1"/>
        <i x="26" s="1" nd="1"/>
        <i x="11" s="1" nd="1"/>
        <i x="39" s="1" nd="1"/>
        <i x="42" s="1" nd="1"/>
        <i x="10" s="1" nd="1"/>
        <i x="25" s="1" nd="1"/>
        <i x="34" s="1" nd="1"/>
        <i x="38" s="1" nd="1"/>
        <i x="41" s="1" nd="1"/>
        <i x="9" s="1" nd="1"/>
        <i x="3" s="1" nd="1"/>
        <i x="15" s="1" nd="1"/>
        <i x="4" s="1" nd="1"/>
        <i x="0" s="1" nd="1"/>
        <i x="37" s="1" nd="1"/>
        <i x="24" s="1" nd="1"/>
        <i x="5" s="1" nd="1"/>
        <i x="28" s="1" nd="1"/>
        <i x="7" s="1" nd="1"/>
        <i x="45" s="1" nd="1"/>
        <i x="19" s="1" nd="1"/>
        <i x="6" s="1" nd="1"/>
        <i x="18" s="1" nd="1"/>
        <i x="44" s="1" nd="1"/>
        <i x="31" s="1" nd="1"/>
        <i x="4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1" cache="Slicer_State" caption="State" rowHeight="241300"/>
  <slicer name="State Medicaid Expansion (2016) 1" cache="Slicer_State_Medicaid_Expansion__2016" caption="State Medicaid Expansion (2016)" rowHeight="241300"/>
  <slicer name="Uninsured Rate Change (2010-2015) 1" cache="Slicer_Uninsured_Rate_Change__2010_2015" caption="Uninsured Rate Change (2010-2015)" rowHeight="241300"/>
  <slicer name="Average Monthly Tax Credit (2016) 1" cache="Slicer_Average_Monthly_Tax_Credit__2016" caption="Average Monthly Tax Credit (201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State Medicaid Expansion (2016)" cache="Slicer_State_Medicaid_Expansion__2016" caption="State Medicaid Expansion (2016)" rowHeight="241300"/>
  <slicer name="Uninsured Rate Change (2010-2015)" cache="Slicer_Uninsured_Rate_Change__2010_2015" caption="Uninsured Rate Change (2010-2015)" rowHeight="241300"/>
  <slicer name="Average Monthly Tax Credit (2016)" cache="Slicer_Average_Monthly_Tax_Credit__2016" caption="Average Monthly Tax Credit (2016)" rowHeight="241300"/>
</slicers>
</file>

<file path=xl/tables/table1.xml><?xml version="1.0" encoding="utf-8"?>
<table xmlns="http://schemas.openxmlformats.org/spreadsheetml/2006/main" id="1" name="Health" displayName="Health" ref="A1:N53" totalsRowShown="0">
  <autoFilter ref="A1:N53"/>
  <tableColumns count="14">
    <tableColumn id="1" name="State"/>
    <tableColumn id="2" name="Uninsured Rate (2010)" dataDxfId="3"/>
    <tableColumn id="3" name="Uninsured Rate (2015)" dataDxfId="2"/>
    <tableColumn id="4" name="Uninsured Rate Change (2010-2015)" dataDxfId="1"/>
    <tableColumn id="5" name="Health Insurance Coverage Change (2010-2015)"/>
    <tableColumn id="6" name="Employer Health Insurance Coverage (2015)"/>
    <tableColumn id="7" name="Marketplace Health Insurance Coverage (2016)"/>
    <tableColumn id="8" name="Marketplace Tax Credits (2016)"/>
    <tableColumn id="9" name="Average Monthly Tax Credit (2016)" dataDxfId="0"/>
    <tableColumn id="10" name="State Medicaid Expansion (2016)"/>
    <tableColumn id="11" name="Medicaid Enrollment (2013)"/>
    <tableColumn id="12" name="Medicaid Enrollment (2016)"/>
    <tableColumn id="13" name="Medicaid Enrollment Change (2013-2016)"/>
    <tableColumn id="14" name="Medicare Enrollment (20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9"/>
  <sheetViews>
    <sheetView showGridLines="0" tabSelected="1" zoomScale="68" zoomScaleNormal="68" workbookViewId="0">
      <selection activeCell="U9" sqref="U9"/>
    </sheetView>
  </sheetViews>
  <sheetFormatPr defaultRowHeight="15" x14ac:dyDescent="0.25"/>
  <sheetData>
    <row r="1" spans="1:30"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spans="1:30"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row>
    <row r="6" spans="1:30"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row>
    <row r="7" spans="1:30"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spans="1:30"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I13" sqref="I13"/>
    </sheetView>
  </sheetViews>
  <sheetFormatPr defaultRowHeight="15" x14ac:dyDescent="0.25"/>
  <cols>
    <col min="1" max="3" width="27.7109375" bestFit="1" customWidth="1"/>
  </cols>
  <sheetData>
    <row r="1" spans="1:2" x14ac:dyDescent="0.25">
      <c r="A1" s="4" t="s">
        <v>0</v>
      </c>
      <c r="B1" t="s">
        <v>65</v>
      </c>
    </row>
    <row r="3" spans="1:2" x14ac:dyDescent="0.25">
      <c r="A3" t="s">
        <v>68</v>
      </c>
      <c r="B3" t="s">
        <v>69</v>
      </c>
    </row>
    <row r="4" spans="1:2" x14ac:dyDescent="0.25">
      <c r="A4" s="1">
        <v>0.155</v>
      </c>
      <c r="B4" s="1">
        <v>9.4E-2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 x14ac:dyDescent="0.25"/>
  <cols>
    <col min="1" max="1" width="13.140625" customWidth="1"/>
    <col min="2" max="2" width="43.42578125" customWidth="1"/>
  </cols>
  <sheetData>
    <row r="3" spans="1:2" x14ac:dyDescent="0.25">
      <c r="A3" s="4" t="s">
        <v>66</v>
      </c>
      <c r="B3" t="s">
        <v>70</v>
      </c>
    </row>
    <row r="4" spans="1:2" x14ac:dyDescent="0.25">
      <c r="A4" s="5" t="s">
        <v>42</v>
      </c>
      <c r="B4" s="6">
        <v>-0.10299999999999999</v>
      </c>
    </row>
    <row r="5" spans="1:2" x14ac:dyDescent="0.25">
      <c r="A5" s="5" t="s">
        <v>51</v>
      </c>
      <c r="B5" s="6">
        <v>-0.10100000000000001</v>
      </c>
    </row>
    <row r="6" spans="1:2" x14ac:dyDescent="0.25">
      <c r="A6" s="5" t="s">
        <v>18</v>
      </c>
      <c r="B6" s="6">
        <v>-9.9000000000000005E-2</v>
      </c>
    </row>
    <row r="7" spans="1:2" x14ac:dyDescent="0.25">
      <c r="A7" s="5" t="s">
        <v>31</v>
      </c>
      <c r="B7" s="6">
        <v>-9.2999999999999999E-2</v>
      </c>
    </row>
    <row r="8" spans="1:2" x14ac:dyDescent="0.25">
      <c r="A8" s="5" t="s">
        <v>45</v>
      </c>
      <c r="B8" s="6">
        <v>-8.6999999999999994E-2</v>
      </c>
    </row>
    <row r="9" spans="1:2" x14ac:dyDescent="0.25">
      <c r="A9" s="5" t="s">
        <v>67</v>
      </c>
      <c r="B9" s="6">
        <v>-9.6599999999999991E-2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
  <sheetViews>
    <sheetView workbookViewId="0">
      <selection activeCell="L6" sqref="L6"/>
    </sheetView>
  </sheetViews>
  <sheetFormatPr defaultRowHeight="15" x14ac:dyDescent="0.25"/>
  <cols>
    <col min="1" max="1" width="13.140625" bestFit="1" customWidth="1"/>
    <col min="2" max="2" width="43.42578125" bestFit="1" customWidth="1"/>
    <col min="3" max="3" width="48.42578125" bestFit="1" customWidth="1"/>
  </cols>
  <sheetData>
    <row r="3" spans="1:3" x14ac:dyDescent="0.25">
      <c r="A3" s="4" t="s">
        <v>66</v>
      </c>
      <c r="B3" t="s">
        <v>70</v>
      </c>
      <c r="C3" t="s">
        <v>72</v>
      </c>
    </row>
    <row r="4" spans="1:3" x14ac:dyDescent="0.25">
      <c r="A4" s="5" t="s">
        <v>71</v>
      </c>
      <c r="B4" s="6">
        <v>-0.05</v>
      </c>
      <c r="C4" s="6">
        <v>44291</v>
      </c>
    </row>
    <row r="5" spans="1:3" x14ac:dyDescent="0.25">
      <c r="A5" s="5" t="s">
        <v>67</v>
      </c>
      <c r="B5" s="6">
        <v>-0.05</v>
      </c>
      <c r="C5" s="6">
        <v>44291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H20" sqref="H20"/>
    </sheetView>
  </sheetViews>
  <sheetFormatPr defaultRowHeight="15" x14ac:dyDescent="0.25"/>
  <cols>
    <col min="1" max="1" width="13.140625" customWidth="1"/>
    <col min="2" max="2" width="47.140625" customWidth="1"/>
    <col min="3" max="3" width="49.85546875" bestFit="1" customWidth="1"/>
  </cols>
  <sheetData>
    <row r="3" spans="1:3" x14ac:dyDescent="0.25">
      <c r="A3" s="4" t="s">
        <v>66</v>
      </c>
      <c r="B3" t="s">
        <v>73</v>
      </c>
      <c r="C3" t="s">
        <v>74</v>
      </c>
    </row>
    <row r="4" spans="1:3" x14ac:dyDescent="0.25">
      <c r="A4" s="5" t="s">
        <v>18</v>
      </c>
      <c r="B4" s="6">
        <v>19552000</v>
      </c>
      <c r="C4" s="6">
        <v>1415428</v>
      </c>
    </row>
    <row r="5" spans="1:3" x14ac:dyDescent="0.25">
      <c r="A5" s="5" t="s">
        <v>23</v>
      </c>
      <c r="B5" s="6">
        <v>8847000</v>
      </c>
      <c r="C5" s="6">
        <v>1531714</v>
      </c>
    </row>
    <row r="6" spans="1:3" x14ac:dyDescent="0.25">
      <c r="A6" s="5" t="s">
        <v>46</v>
      </c>
      <c r="B6" s="6">
        <v>10895000</v>
      </c>
      <c r="C6" s="6">
        <v>224014</v>
      </c>
    </row>
    <row r="7" spans="1:3" x14ac:dyDescent="0.25">
      <c r="A7" s="5" t="s">
        <v>57</v>
      </c>
      <c r="B7" s="6">
        <v>13709000</v>
      </c>
      <c r="C7" s="6">
        <v>1092650</v>
      </c>
    </row>
    <row r="8" spans="1:3" x14ac:dyDescent="0.25">
      <c r="A8" s="5" t="s">
        <v>65</v>
      </c>
      <c r="B8" s="6">
        <v>172292000</v>
      </c>
      <c r="C8" s="6">
        <v>11081330</v>
      </c>
    </row>
    <row r="9" spans="1:3" x14ac:dyDescent="0.25">
      <c r="A9" s="5" t="s">
        <v>67</v>
      </c>
      <c r="B9" s="6">
        <v>225295000</v>
      </c>
      <c r="C9" s="6">
        <v>15345136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6"/>
  <sheetViews>
    <sheetView workbookViewId="0">
      <selection activeCell="B5" sqref="B5"/>
    </sheetView>
  </sheetViews>
  <sheetFormatPr defaultRowHeight="15" x14ac:dyDescent="0.25"/>
  <cols>
    <col min="1" max="1" width="18.7109375" bestFit="1" customWidth="1"/>
    <col min="2" max="2" width="42.5703125" bestFit="1" customWidth="1"/>
    <col min="3" max="3" width="27.28515625" bestFit="1" customWidth="1"/>
  </cols>
  <sheetData>
    <row r="3" spans="1:3" x14ac:dyDescent="0.25">
      <c r="A3" s="4" t="s">
        <v>66</v>
      </c>
      <c r="B3" t="s">
        <v>76</v>
      </c>
      <c r="C3" t="s">
        <v>77</v>
      </c>
    </row>
    <row r="4" spans="1:3" x14ac:dyDescent="0.25">
      <c r="A4" s="5" t="s">
        <v>14</v>
      </c>
      <c r="B4" s="6">
        <v>310</v>
      </c>
      <c r="C4" s="7">
        <v>0.91948481882876021</v>
      </c>
    </row>
    <row r="5" spans="1:3" x14ac:dyDescent="0.25">
      <c r="A5" s="5" t="s">
        <v>15</v>
      </c>
      <c r="B5" s="6">
        <v>750</v>
      </c>
      <c r="C5" s="7">
        <v>0.90052792442345098</v>
      </c>
    </row>
    <row r="6" spans="1:3" x14ac:dyDescent="0.25">
      <c r="A6" s="5" t="s">
        <v>16</v>
      </c>
      <c r="B6" s="6">
        <v>230</v>
      </c>
      <c r="C6" s="7">
        <v>0.69294769985232241</v>
      </c>
    </row>
    <row r="7" spans="1:3" x14ac:dyDescent="0.25">
      <c r="A7" s="5" t="s">
        <v>17</v>
      </c>
      <c r="B7" s="6">
        <v>306</v>
      </c>
      <c r="C7" s="7">
        <v>0.89718578846851971</v>
      </c>
    </row>
    <row r="8" spans="1:3" x14ac:dyDescent="0.25">
      <c r="A8" s="5" t="s">
        <v>18</v>
      </c>
      <c r="B8" s="6">
        <v>309</v>
      </c>
      <c r="C8" s="7">
        <v>0.87598450786617188</v>
      </c>
    </row>
    <row r="9" spans="1:3" x14ac:dyDescent="0.25">
      <c r="A9" s="5" t="s">
        <v>19</v>
      </c>
      <c r="B9" s="6">
        <v>318</v>
      </c>
      <c r="C9" s="7">
        <v>0.61916148867612708</v>
      </c>
    </row>
    <row r="10" spans="1:3" x14ac:dyDescent="0.25">
      <c r="A10" s="5" t="s">
        <v>20</v>
      </c>
      <c r="B10" s="6">
        <v>357</v>
      </c>
      <c r="C10" s="7">
        <v>0.78470029246868833</v>
      </c>
    </row>
    <row r="11" spans="1:3" x14ac:dyDescent="0.25">
      <c r="A11" s="5" t="s">
        <v>21</v>
      </c>
      <c r="B11" s="6">
        <v>330</v>
      </c>
      <c r="C11" s="7">
        <v>0.84585681074904451</v>
      </c>
    </row>
    <row r="12" spans="1:3" x14ac:dyDescent="0.25">
      <c r="A12" s="5" t="s">
        <v>22</v>
      </c>
      <c r="B12" s="6">
        <v>183</v>
      </c>
      <c r="C12" s="7">
        <v>6.9285633420129056E-2</v>
      </c>
    </row>
    <row r="13" spans="1:3" x14ac:dyDescent="0.25">
      <c r="A13" s="5" t="s">
        <v>23</v>
      </c>
      <c r="B13" s="6">
        <v>305</v>
      </c>
      <c r="C13" s="7">
        <v>0.93275376473675897</v>
      </c>
    </row>
    <row r="14" spans="1:3" x14ac:dyDescent="0.25">
      <c r="A14" s="5" t="s">
        <v>24</v>
      </c>
      <c r="B14" s="6">
        <v>291</v>
      </c>
      <c r="C14" s="7">
        <v>0.89401400789931718</v>
      </c>
    </row>
    <row r="15" spans="1:3" x14ac:dyDescent="0.25">
      <c r="A15" s="5" t="s">
        <v>25</v>
      </c>
      <c r="B15" s="6">
        <v>270</v>
      </c>
      <c r="C15" s="7">
        <v>0.8231052354841133</v>
      </c>
    </row>
    <row r="16" spans="1:3" x14ac:dyDescent="0.25">
      <c r="A16" s="5" t="s">
        <v>26</v>
      </c>
      <c r="B16" s="6">
        <v>265</v>
      </c>
      <c r="C16" s="7">
        <v>0.87834942187334253</v>
      </c>
    </row>
    <row r="17" spans="1:3" x14ac:dyDescent="0.25">
      <c r="A17" s="5" t="s">
        <v>27</v>
      </c>
      <c r="B17" s="6">
        <v>237</v>
      </c>
      <c r="C17" s="7">
        <v>0.77466494453277179</v>
      </c>
    </row>
    <row r="18" spans="1:3" x14ac:dyDescent="0.25">
      <c r="A18" s="5" t="s">
        <v>28</v>
      </c>
      <c r="B18" s="6">
        <v>259</v>
      </c>
      <c r="C18" s="7">
        <v>0.82563771582861611</v>
      </c>
    </row>
    <row r="19" spans="1:3" x14ac:dyDescent="0.25">
      <c r="A19" s="5" t="s">
        <v>29</v>
      </c>
      <c r="B19" s="6">
        <v>307</v>
      </c>
      <c r="C19" s="7">
        <v>0.87019142372673597</v>
      </c>
    </row>
    <row r="20" spans="1:3" x14ac:dyDescent="0.25">
      <c r="A20" s="5" t="s">
        <v>30</v>
      </c>
      <c r="B20" s="6">
        <v>247</v>
      </c>
      <c r="C20" s="7">
        <v>0.84647075899336799</v>
      </c>
    </row>
    <row r="21" spans="1:3" x14ac:dyDescent="0.25">
      <c r="A21" s="5" t="s">
        <v>31</v>
      </c>
      <c r="B21" s="6">
        <v>258</v>
      </c>
      <c r="C21" s="7">
        <v>0.7568060021436227</v>
      </c>
    </row>
    <row r="22" spans="1:3" x14ac:dyDescent="0.25">
      <c r="A22" s="5" t="s">
        <v>32</v>
      </c>
      <c r="B22" s="6">
        <v>362</v>
      </c>
      <c r="C22" s="7">
        <v>0.92626475708095857</v>
      </c>
    </row>
    <row r="23" spans="1:3" x14ac:dyDescent="0.25">
      <c r="A23" s="5" t="s">
        <v>33</v>
      </c>
      <c r="B23" s="6">
        <v>342</v>
      </c>
      <c r="C23" s="7">
        <v>0.84922913343965978</v>
      </c>
    </row>
    <row r="24" spans="1:3" x14ac:dyDescent="0.25">
      <c r="A24" s="5" t="s">
        <v>34</v>
      </c>
      <c r="B24" s="6">
        <v>243</v>
      </c>
      <c r="C24" s="7">
        <v>0.74584344121649604</v>
      </c>
    </row>
    <row r="25" spans="1:3" x14ac:dyDescent="0.25">
      <c r="A25" s="5" t="s">
        <v>35</v>
      </c>
      <c r="B25" s="6">
        <v>190</v>
      </c>
      <c r="C25" s="7">
        <v>0.76163691755061047</v>
      </c>
    </row>
    <row r="26" spans="1:3" x14ac:dyDescent="0.25">
      <c r="A26" s="5" t="s">
        <v>36</v>
      </c>
      <c r="B26" s="6">
        <v>233</v>
      </c>
      <c r="C26" s="7">
        <v>0.87850461320311823</v>
      </c>
    </row>
    <row r="27" spans="1:3" x14ac:dyDescent="0.25">
      <c r="A27" s="5" t="s">
        <v>37</v>
      </c>
      <c r="B27" s="6">
        <v>203</v>
      </c>
      <c r="C27" s="7">
        <v>0.63821226032946254</v>
      </c>
    </row>
    <row r="28" spans="1:3" x14ac:dyDescent="0.25">
      <c r="A28" s="5" t="s">
        <v>38</v>
      </c>
      <c r="B28" s="6">
        <v>306</v>
      </c>
      <c r="C28" s="7">
        <v>0.94210709094884693</v>
      </c>
    </row>
    <row r="29" spans="1:3" x14ac:dyDescent="0.25">
      <c r="A29" s="5" t="s">
        <v>39</v>
      </c>
      <c r="B29" s="6">
        <v>315</v>
      </c>
      <c r="C29" s="7">
        <v>0.89618479313135802</v>
      </c>
    </row>
    <row r="30" spans="1:3" x14ac:dyDescent="0.25">
      <c r="A30" s="5" t="s">
        <v>40</v>
      </c>
      <c r="B30" s="6">
        <v>306</v>
      </c>
      <c r="C30" s="7">
        <v>0.85186831021291398</v>
      </c>
    </row>
    <row r="31" spans="1:3" x14ac:dyDescent="0.25">
      <c r="A31" s="5" t="s">
        <v>41</v>
      </c>
      <c r="B31" s="6">
        <v>296</v>
      </c>
      <c r="C31" s="7">
        <v>0.89874459252240912</v>
      </c>
    </row>
    <row r="32" spans="1:3" x14ac:dyDescent="0.25">
      <c r="A32" s="5" t="s">
        <v>42</v>
      </c>
      <c r="B32" s="6">
        <v>268</v>
      </c>
      <c r="C32" s="7">
        <v>0.89478691972557467</v>
      </c>
    </row>
    <row r="33" spans="1:3" x14ac:dyDescent="0.25">
      <c r="A33" s="5" t="s">
        <v>43</v>
      </c>
      <c r="B33" s="6">
        <v>261</v>
      </c>
      <c r="C33" s="7">
        <v>0.63425907073339582</v>
      </c>
    </row>
    <row r="34" spans="1:3" x14ac:dyDescent="0.25">
      <c r="A34" s="5" t="s">
        <v>44</v>
      </c>
      <c r="B34" s="6">
        <v>322</v>
      </c>
      <c r="C34" s="7">
        <v>0.82295956214037969</v>
      </c>
    </row>
    <row r="35" spans="1:3" x14ac:dyDescent="0.25">
      <c r="A35" s="5" t="s">
        <v>45</v>
      </c>
      <c r="B35" s="6">
        <v>212</v>
      </c>
      <c r="C35" s="7">
        <v>0.68852769648609391</v>
      </c>
    </row>
    <row r="36" spans="1:3" x14ac:dyDescent="0.25">
      <c r="A36" s="5" t="s">
        <v>46</v>
      </c>
      <c r="B36" s="6">
        <v>178</v>
      </c>
      <c r="C36" s="7">
        <v>0.55277795137803887</v>
      </c>
    </row>
    <row r="37" spans="1:3" x14ac:dyDescent="0.25">
      <c r="A37" s="5" t="s">
        <v>47</v>
      </c>
      <c r="B37" s="6">
        <v>401</v>
      </c>
      <c r="C37" s="7">
        <v>0.9153283922002956</v>
      </c>
    </row>
    <row r="38" spans="1:3" x14ac:dyDescent="0.25">
      <c r="A38" s="5" t="s">
        <v>48</v>
      </c>
      <c r="B38" s="6">
        <v>262</v>
      </c>
      <c r="C38" s="7">
        <v>0.85849240358395018</v>
      </c>
    </row>
    <row r="39" spans="1:3" x14ac:dyDescent="0.25">
      <c r="A39" s="5" t="s">
        <v>49</v>
      </c>
      <c r="B39" s="6">
        <v>250</v>
      </c>
      <c r="C39" s="7">
        <v>0.82268941644737459</v>
      </c>
    </row>
    <row r="40" spans="1:3" x14ac:dyDescent="0.25">
      <c r="A40" s="5" t="s">
        <v>50</v>
      </c>
      <c r="B40" s="6">
        <v>298</v>
      </c>
      <c r="C40" s="7">
        <v>0.86964771313125111</v>
      </c>
    </row>
    <row r="41" spans="1:3" x14ac:dyDescent="0.25">
      <c r="A41" s="5" t="s">
        <v>51</v>
      </c>
      <c r="B41" s="6">
        <v>253</v>
      </c>
      <c r="C41" s="7">
        <v>0.72813283829011866</v>
      </c>
    </row>
    <row r="42" spans="1:3" x14ac:dyDescent="0.25">
      <c r="A42" s="5" t="s">
        <v>52</v>
      </c>
      <c r="B42" s="6">
        <v>248</v>
      </c>
      <c r="C42" s="7">
        <v>0.77930723395586732</v>
      </c>
    </row>
    <row r="43" spans="1:3" x14ac:dyDescent="0.25">
      <c r="A43" s="5" t="s">
        <v>53</v>
      </c>
      <c r="B43" s="6">
        <v>250</v>
      </c>
      <c r="C43" s="7">
        <v>0.84352078239608796</v>
      </c>
    </row>
    <row r="44" spans="1:3" x14ac:dyDescent="0.25">
      <c r="A44" s="5" t="s">
        <v>54</v>
      </c>
      <c r="B44" s="6">
        <v>312</v>
      </c>
      <c r="C44" s="7">
        <v>0.90968337189888993</v>
      </c>
    </row>
    <row r="45" spans="1:3" x14ac:dyDescent="0.25">
      <c r="A45" s="5" t="s">
        <v>55</v>
      </c>
      <c r="B45" s="6">
        <v>307</v>
      </c>
      <c r="C45" s="7">
        <v>0.89531288143868504</v>
      </c>
    </row>
    <row r="46" spans="1:3" x14ac:dyDescent="0.25">
      <c r="A46" s="5" t="s">
        <v>56</v>
      </c>
      <c r="B46" s="6">
        <v>299</v>
      </c>
      <c r="C46" s="7">
        <v>0.87659739755292287</v>
      </c>
    </row>
    <row r="47" spans="1:3" x14ac:dyDescent="0.25">
      <c r="A47" s="5" t="s">
        <v>57</v>
      </c>
      <c r="B47" s="6">
        <v>271</v>
      </c>
      <c r="C47" s="7">
        <v>0.83574520660778839</v>
      </c>
    </row>
    <row r="48" spans="1:3" x14ac:dyDescent="0.25">
      <c r="A48" s="5" t="s">
        <v>65</v>
      </c>
      <c r="B48" s="6">
        <v>291</v>
      </c>
      <c r="C48" s="7">
        <v>0.84733592447837935</v>
      </c>
    </row>
    <row r="49" spans="1:3" x14ac:dyDescent="0.25">
      <c r="A49" s="5" t="s">
        <v>58</v>
      </c>
      <c r="B49" s="6">
        <v>187</v>
      </c>
      <c r="C49" s="7">
        <v>0.88366633214731016</v>
      </c>
    </row>
    <row r="50" spans="1:3" x14ac:dyDescent="0.25">
      <c r="A50" s="5" t="s">
        <v>59</v>
      </c>
      <c r="B50" s="6">
        <v>300</v>
      </c>
      <c r="C50" s="7">
        <v>0.70204066994225878</v>
      </c>
    </row>
    <row r="51" spans="1:3" x14ac:dyDescent="0.25">
      <c r="A51" s="5" t="s">
        <v>60</v>
      </c>
      <c r="B51" s="6">
        <v>276</v>
      </c>
      <c r="C51" s="7">
        <v>0.84222807638093322</v>
      </c>
    </row>
    <row r="52" spans="1:3" x14ac:dyDescent="0.25">
      <c r="A52" s="5" t="s">
        <v>61</v>
      </c>
      <c r="B52" s="6">
        <v>238</v>
      </c>
      <c r="C52" s="7">
        <v>0.69813264242156148</v>
      </c>
    </row>
    <row r="53" spans="1:3" x14ac:dyDescent="0.25">
      <c r="A53" s="5" t="s">
        <v>62</v>
      </c>
      <c r="B53" s="6">
        <v>388</v>
      </c>
      <c r="C53" s="7">
        <v>0.87747856175718364</v>
      </c>
    </row>
    <row r="54" spans="1:3" x14ac:dyDescent="0.25">
      <c r="A54" s="5" t="s">
        <v>63</v>
      </c>
      <c r="B54" s="6">
        <v>332</v>
      </c>
      <c r="C54" s="7">
        <v>0.84984478698351529</v>
      </c>
    </row>
    <row r="55" spans="1:3" x14ac:dyDescent="0.25">
      <c r="A55" s="5" t="s">
        <v>64</v>
      </c>
      <c r="B55" s="6">
        <v>459</v>
      </c>
      <c r="C55" s="7">
        <v>0.92013951802862837</v>
      </c>
    </row>
    <row r="56" spans="1:3" x14ac:dyDescent="0.25">
      <c r="A56" s="5" t="s">
        <v>67</v>
      </c>
      <c r="B56" s="6">
        <v>292.13461538461536</v>
      </c>
      <c r="C56" s="7">
        <v>0.84733592447837935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B3" sqref="B3"/>
    </sheetView>
  </sheetViews>
  <sheetFormatPr defaultRowHeight="15" x14ac:dyDescent="0.25"/>
  <cols>
    <col min="1" max="1" width="13.140625" customWidth="1"/>
    <col min="2" max="2" width="31.28515625" bestFit="1" customWidth="1"/>
    <col min="3" max="3" width="43.42578125" bestFit="1" customWidth="1"/>
  </cols>
  <sheetData>
    <row r="3" spans="1:3" x14ac:dyDescent="0.25">
      <c r="A3" s="4" t="s">
        <v>66</v>
      </c>
      <c r="B3" t="s">
        <v>75</v>
      </c>
      <c r="C3" t="s">
        <v>70</v>
      </c>
    </row>
    <row r="4" spans="1:3" x14ac:dyDescent="0.25">
      <c r="A4" s="5" t="s">
        <v>15</v>
      </c>
      <c r="B4" s="6">
        <v>0.14899999999999999</v>
      </c>
      <c r="C4" s="6">
        <v>-0.05</v>
      </c>
    </row>
    <row r="5" spans="1:3" x14ac:dyDescent="0.25">
      <c r="A5" s="5" t="s">
        <v>23</v>
      </c>
      <c r="B5" s="6">
        <v>0.13300000000000001</v>
      </c>
      <c r="C5" s="6">
        <v>-0.08</v>
      </c>
    </row>
    <row r="6" spans="1:3" x14ac:dyDescent="0.25">
      <c r="A6" s="5" t="s">
        <v>24</v>
      </c>
      <c r="B6" s="6">
        <v>0.13900000000000001</v>
      </c>
      <c r="C6" s="6">
        <v>-5.8000000000000003E-2</v>
      </c>
    </row>
    <row r="7" spans="1:3" x14ac:dyDescent="0.25">
      <c r="A7" s="5" t="s">
        <v>32</v>
      </c>
      <c r="B7" s="6">
        <v>0.11899999999999999</v>
      </c>
      <c r="C7" s="6">
        <v>-5.8999999999999997E-2</v>
      </c>
    </row>
    <row r="8" spans="1:3" x14ac:dyDescent="0.25">
      <c r="A8" s="5" t="s">
        <v>38</v>
      </c>
      <c r="B8" s="6">
        <v>0.127</v>
      </c>
      <c r="C8" s="6">
        <v>-5.5E-2</v>
      </c>
    </row>
    <row r="9" spans="1:3" x14ac:dyDescent="0.25">
      <c r="A9" s="5" t="s">
        <v>40</v>
      </c>
      <c r="B9" s="6">
        <v>0.11600000000000001</v>
      </c>
      <c r="C9" s="6">
        <v>-5.7000000000000002E-2</v>
      </c>
    </row>
    <row r="10" spans="1:3" x14ac:dyDescent="0.25">
      <c r="A10" s="5" t="s">
        <v>42</v>
      </c>
      <c r="B10" s="6">
        <v>0.123</v>
      </c>
      <c r="C10" s="6">
        <v>-0.10299999999999999</v>
      </c>
    </row>
    <row r="11" spans="1:3" x14ac:dyDescent="0.25">
      <c r="A11" s="5" t="s">
        <v>50</v>
      </c>
      <c r="B11" s="6">
        <v>0.13900000000000001</v>
      </c>
      <c r="C11" s="6">
        <v>-0.05</v>
      </c>
    </row>
    <row r="12" spans="1:3" x14ac:dyDescent="0.25">
      <c r="A12" s="5" t="s">
        <v>57</v>
      </c>
      <c r="B12" s="6">
        <v>0.17100000000000001</v>
      </c>
      <c r="C12" s="6">
        <v>-6.6000000000000003E-2</v>
      </c>
    </row>
    <row r="13" spans="1:3" x14ac:dyDescent="0.25">
      <c r="A13" s="5" t="s">
        <v>64</v>
      </c>
      <c r="B13" s="6">
        <v>0.115</v>
      </c>
      <c r="C13" s="6">
        <v>-3.4000000000000002E-2</v>
      </c>
    </row>
    <row r="14" spans="1:3" x14ac:dyDescent="0.25">
      <c r="A14" s="5" t="s">
        <v>67</v>
      </c>
      <c r="B14" s="6">
        <v>0.1331</v>
      </c>
      <c r="C14" s="6">
        <v>-6.1200000000000011E-2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workbookViewId="0">
      <selection activeCell="G25" sqref="G25"/>
    </sheetView>
  </sheetViews>
  <sheetFormatPr defaultRowHeight="15" x14ac:dyDescent="0.25"/>
  <cols>
    <col min="1" max="1" width="18.7109375" bestFit="1" customWidth="1"/>
    <col min="2" max="2" width="36.28515625" bestFit="1" customWidth="1"/>
  </cols>
  <sheetData>
    <row r="3" spans="1:2" x14ac:dyDescent="0.25">
      <c r="A3" s="4" t="s">
        <v>66</v>
      </c>
      <c r="B3" t="s">
        <v>78</v>
      </c>
    </row>
    <row r="4" spans="1:2" x14ac:dyDescent="0.25">
      <c r="A4" s="5" t="s">
        <v>14</v>
      </c>
      <c r="B4" s="6">
        <v>1</v>
      </c>
    </row>
    <row r="5" spans="1:2" x14ac:dyDescent="0.25">
      <c r="A5" s="5" t="s">
        <v>15</v>
      </c>
      <c r="B5" s="6">
        <v>1</v>
      </c>
    </row>
    <row r="6" spans="1:2" x14ac:dyDescent="0.25">
      <c r="A6" s="5" t="s">
        <v>16</v>
      </c>
      <c r="B6" s="6">
        <v>1</v>
      </c>
    </row>
    <row r="7" spans="1:2" x14ac:dyDescent="0.25">
      <c r="A7" s="5" t="s">
        <v>17</v>
      </c>
      <c r="B7" s="6">
        <v>1</v>
      </c>
    </row>
    <row r="8" spans="1:2" x14ac:dyDescent="0.25">
      <c r="A8" s="5" t="s">
        <v>18</v>
      </c>
      <c r="B8" s="6">
        <v>1</v>
      </c>
    </row>
    <row r="9" spans="1:2" x14ac:dyDescent="0.25">
      <c r="A9" s="5" t="s">
        <v>19</v>
      </c>
      <c r="B9" s="6">
        <v>1</v>
      </c>
    </row>
    <row r="10" spans="1:2" x14ac:dyDescent="0.25">
      <c r="A10" s="5" t="s">
        <v>20</v>
      </c>
      <c r="B10" s="6">
        <v>1</v>
      </c>
    </row>
    <row r="11" spans="1:2" x14ac:dyDescent="0.25">
      <c r="A11" s="5" t="s">
        <v>21</v>
      </c>
      <c r="B11" s="6">
        <v>1</v>
      </c>
    </row>
    <row r="12" spans="1:2" x14ac:dyDescent="0.25">
      <c r="A12" s="5" t="s">
        <v>22</v>
      </c>
      <c r="B12" s="6">
        <v>1</v>
      </c>
    </row>
    <row r="13" spans="1:2" x14ac:dyDescent="0.25">
      <c r="A13" s="5" t="s">
        <v>23</v>
      </c>
      <c r="B13" s="6">
        <v>1</v>
      </c>
    </row>
    <row r="14" spans="1:2" x14ac:dyDescent="0.25">
      <c r="A14" s="5" t="s">
        <v>24</v>
      </c>
      <c r="B14" s="6">
        <v>1</v>
      </c>
    </row>
    <row r="15" spans="1:2" x14ac:dyDescent="0.25">
      <c r="A15" s="5" t="s">
        <v>25</v>
      </c>
      <c r="B15" s="6">
        <v>1</v>
      </c>
    </row>
    <row r="16" spans="1:2" x14ac:dyDescent="0.25">
      <c r="A16" s="5" t="s">
        <v>26</v>
      </c>
      <c r="B16" s="6">
        <v>1</v>
      </c>
    </row>
    <row r="17" spans="1:2" x14ac:dyDescent="0.25">
      <c r="A17" s="5" t="s">
        <v>27</v>
      </c>
      <c r="B17" s="6">
        <v>1</v>
      </c>
    </row>
    <row r="18" spans="1:2" x14ac:dyDescent="0.25">
      <c r="A18" s="5" t="s">
        <v>28</v>
      </c>
      <c r="B18" s="6">
        <v>1</v>
      </c>
    </row>
    <row r="19" spans="1:2" x14ac:dyDescent="0.25">
      <c r="A19" s="5" t="s">
        <v>29</v>
      </c>
      <c r="B19" s="6">
        <v>1</v>
      </c>
    </row>
    <row r="20" spans="1:2" x14ac:dyDescent="0.25">
      <c r="A20" s="5" t="s">
        <v>30</v>
      </c>
      <c r="B20" s="6">
        <v>1</v>
      </c>
    </row>
    <row r="21" spans="1:2" x14ac:dyDescent="0.25">
      <c r="A21" s="5" t="s">
        <v>31</v>
      </c>
      <c r="B21" s="6">
        <v>1</v>
      </c>
    </row>
    <row r="22" spans="1:2" x14ac:dyDescent="0.25">
      <c r="A22" s="5" t="s">
        <v>32</v>
      </c>
      <c r="B22" s="6">
        <v>1</v>
      </c>
    </row>
    <row r="23" spans="1:2" x14ac:dyDescent="0.25">
      <c r="A23" s="5" t="s">
        <v>33</v>
      </c>
      <c r="B23" s="6">
        <v>1</v>
      </c>
    </row>
    <row r="24" spans="1:2" x14ac:dyDescent="0.25">
      <c r="A24" s="5" t="s">
        <v>34</v>
      </c>
      <c r="B24" s="6">
        <v>1</v>
      </c>
    </row>
    <row r="25" spans="1:2" x14ac:dyDescent="0.25">
      <c r="A25" s="5" t="s">
        <v>35</v>
      </c>
      <c r="B25" s="6">
        <v>1</v>
      </c>
    </row>
    <row r="26" spans="1:2" x14ac:dyDescent="0.25">
      <c r="A26" s="5" t="s">
        <v>36</v>
      </c>
      <c r="B26" s="6">
        <v>1</v>
      </c>
    </row>
    <row r="27" spans="1:2" x14ac:dyDescent="0.25">
      <c r="A27" s="5" t="s">
        <v>37</v>
      </c>
      <c r="B27" s="6">
        <v>1</v>
      </c>
    </row>
    <row r="28" spans="1:2" x14ac:dyDescent="0.25">
      <c r="A28" s="5" t="s">
        <v>38</v>
      </c>
      <c r="B28" s="6">
        <v>1</v>
      </c>
    </row>
    <row r="29" spans="1:2" x14ac:dyDescent="0.25">
      <c r="A29" s="5" t="s">
        <v>39</v>
      </c>
      <c r="B29" s="6">
        <v>1</v>
      </c>
    </row>
    <row r="30" spans="1:2" x14ac:dyDescent="0.25">
      <c r="A30" s="5" t="s">
        <v>40</v>
      </c>
      <c r="B30" s="6">
        <v>1</v>
      </c>
    </row>
    <row r="31" spans="1:2" x14ac:dyDescent="0.25">
      <c r="A31" s="5" t="s">
        <v>41</v>
      </c>
      <c r="B31" s="6">
        <v>1</v>
      </c>
    </row>
    <row r="32" spans="1:2" x14ac:dyDescent="0.25">
      <c r="A32" s="5" t="s">
        <v>42</v>
      </c>
      <c r="B32" s="6">
        <v>1</v>
      </c>
    </row>
    <row r="33" spans="1:2" x14ac:dyDescent="0.25">
      <c r="A33" s="5" t="s">
        <v>43</v>
      </c>
      <c r="B33" s="6">
        <v>1</v>
      </c>
    </row>
    <row r="34" spans="1:2" x14ac:dyDescent="0.25">
      <c r="A34" s="5" t="s">
        <v>44</v>
      </c>
      <c r="B34" s="6">
        <v>1</v>
      </c>
    </row>
    <row r="35" spans="1:2" x14ac:dyDescent="0.25">
      <c r="A35" s="5" t="s">
        <v>45</v>
      </c>
      <c r="B35" s="6">
        <v>1</v>
      </c>
    </row>
    <row r="36" spans="1:2" x14ac:dyDescent="0.25">
      <c r="A36" s="5" t="s">
        <v>46</v>
      </c>
      <c r="B36" s="6">
        <v>1</v>
      </c>
    </row>
    <row r="37" spans="1:2" x14ac:dyDescent="0.25">
      <c r="A37" s="5" t="s">
        <v>47</v>
      </c>
      <c r="B37" s="6">
        <v>1</v>
      </c>
    </row>
    <row r="38" spans="1:2" x14ac:dyDescent="0.25">
      <c r="A38" s="5" t="s">
        <v>48</v>
      </c>
      <c r="B38" s="6">
        <v>1</v>
      </c>
    </row>
    <row r="39" spans="1:2" x14ac:dyDescent="0.25">
      <c r="A39" s="5" t="s">
        <v>49</v>
      </c>
      <c r="B39" s="6">
        <v>1</v>
      </c>
    </row>
    <row r="40" spans="1:2" x14ac:dyDescent="0.25">
      <c r="A40" s="5" t="s">
        <v>50</v>
      </c>
      <c r="B40" s="6">
        <v>1</v>
      </c>
    </row>
    <row r="41" spans="1:2" x14ac:dyDescent="0.25">
      <c r="A41" s="5" t="s">
        <v>51</v>
      </c>
      <c r="B41" s="6">
        <v>1</v>
      </c>
    </row>
    <row r="42" spans="1:2" x14ac:dyDescent="0.25">
      <c r="A42" s="5" t="s">
        <v>52</v>
      </c>
      <c r="B42" s="6">
        <v>1</v>
      </c>
    </row>
    <row r="43" spans="1:2" x14ac:dyDescent="0.25">
      <c r="A43" s="5" t="s">
        <v>53</v>
      </c>
      <c r="B43" s="6">
        <v>1</v>
      </c>
    </row>
    <row r="44" spans="1:2" x14ac:dyDescent="0.25">
      <c r="A44" s="5" t="s">
        <v>54</v>
      </c>
      <c r="B44" s="6">
        <v>1</v>
      </c>
    </row>
    <row r="45" spans="1:2" x14ac:dyDescent="0.25">
      <c r="A45" s="5" t="s">
        <v>55</v>
      </c>
      <c r="B45" s="6">
        <v>1</v>
      </c>
    </row>
    <row r="46" spans="1:2" x14ac:dyDescent="0.25">
      <c r="A46" s="5" t="s">
        <v>56</v>
      </c>
      <c r="B46" s="6">
        <v>1</v>
      </c>
    </row>
    <row r="47" spans="1:2" x14ac:dyDescent="0.25">
      <c r="A47" s="5" t="s">
        <v>57</v>
      </c>
      <c r="B47" s="6">
        <v>1</v>
      </c>
    </row>
    <row r="48" spans="1:2" x14ac:dyDescent="0.25">
      <c r="A48" s="5" t="s">
        <v>65</v>
      </c>
      <c r="B48" s="6">
        <v>1</v>
      </c>
    </row>
    <row r="49" spans="1:2" x14ac:dyDescent="0.25">
      <c r="A49" s="5" t="s">
        <v>58</v>
      </c>
      <c r="B49" s="6">
        <v>1</v>
      </c>
    </row>
    <row r="50" spans="1:2" x14ac:dyDescent="0.25">
      <c r="A50" s="5" t="s">
        <v>59</v>
      </c>
      <c r="B50" s="6">
        <v>1</v>
      </c>
    </row>
    <row r="51" spans="1:2" x14ac:dyDescent="0.25">
      <c r="A51" s="5" t="s">
        <v>60</v>
      </c>
      <c r="B51" s="6">
        <v>1</v>
      </c>
    </row>
    <row r="52" spans="1:2" x14ac:dyDescent="0.25">
      <c r="A52" s="5" t="s">
        <v>61</v>
      </c>
      <c r="B52" s="6">
        <v>1</v>
      </c>
    </row>
    <row r="53" spans="1:2" x14ac:dyDescent="0.25">
      <c r="A53" s="5" t="s">
        <v>62</v>
      </c>
      <c r="B53" s="6">
        <v>1</v>
      </c>
    </row>
    <row r="54" spans="1:2" x14ac:dyDescent="0.25">
      <c r="A54" s="5" t="s">
        <v>63</v>
      </c>
      <c r="B54" s="6">
        <v>1</v>
      </c>
    </row>
    <row r="55" spans="1:2" x14ac:dyDescent="0.25">
      <c r="A55" s="5" t="s">
        <v>64</v>
      </c>
      <c r="B55" s="6">
        <v>1</v>
      </c>
    </row>
    <row r="56" spans="1:2" x14ac:dyDescent="0.25">
      <c r="A56" s="5" t="s">
        <v>67</v>
      </c>
      <c r="B56" s="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opLeftCell="B1" workbookViewId="0">
      <selection activeCell="B2" sqref="B2"/>
    </sheetView>
  </sheetViews>
  <sheetFormatPr defaultRowHeight="15" x14ac:dyDescent="0.25"/>
  <cols>
    <col min="2" max="3" width="22.7109375" customWidth="1"/>
    <col min="4" max="4" width="34.42578125" customWidth="1"/>
    <col min="5" max="5" width="44.28515625" customWidth="1"/>
    <col min="6" max="6" width="41.42578125" customWidth="1"/>
    <col min="7" max="7" width="44.140625" customWidth="1"/>
    <col min="8" max="8" width="30.28515625" customWidth="1"/>
    <col min="9" max="9" width="33.5703125" customWidth="1"/>
    <col min="10" max="10" width="31.7109375" customWidth="1"/>
    <col min="11" max="12" width="27.5703125" customWidth="1"/>
    <col min="13" max="13" width="39.28515625" customWidth="1"/>
    <col min="14" max="14" width="27.71093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
        <v>0.14599999999999999</v>
      </c>
      <c r="C2" s="1">
        <v>0.10100000000000001</v>
      </c>
      <c r="D2" s="1">
        <v>-4.4999999999999998E-2</v>
      </c>
      <c r="E2">
        <v>215000</v>
      </c>
      <c r="F2">
        <v>2545000</v>
      </c>
      <c r="G2">
        <v>165534</v>
      </c>
      <c r="H2">
        <v>152206</v>
      </c>
      <c r="I2" s="2">
        <v>310</v>
      </c>
      <c r="J2" t="b">
        <v>0</v>
      </c>
      <c r="K2">
        <v>799176</v>
      </c>
      <c r="L2">
        <v>910775</v>
      </c>
      <c r="M2">
        <v>111599</v>
      </c>
      <c r="N2">
        <v>989855</v>
      </c>
    </row>
    <row r="3" spans="1:14" x14ac:dyDescent="0.25">
      <c r="A3" t="s">
        <v>15</v>
      </c>
      <c r="B3" s="1">
        <v>0.19900000000000001</v>
      </c>
      <c r="C3" s="1">
        <v>0.14899999999999999</v>
      </c>
      <c r="D3" s="3">
        <v>-0.05</v>
      </c>
      <c r="E3">
        <v>36000</v>
      </c>
      <c r="F3">
        <v>390000</v>
      </c>
      <c r="G3">
        <v>17995</v>
      </c>
      <c r="H3">
        <v>16205</v>
      </c>
      <c r="I3" s="2">
        <v>750</v>
      </c>
      <c r="J3" t="b">
        <v>1</v>
      </c>
      <c r="K3">
        <v>122334</v>
      </c>
      <c r="L3">
        <v>166625</v>
      </c>
      <c r="M3">
        <v>44291</v>
      </c>
      <c r="N3">
        <v>88966</v>
      </c>
    </row>
    <row r="4" spans="1:14" x14ac:dyDescent="0.25">
      <c r="A4" t="s">
        <v>16</v>
      </c>
      <c r="B4" s="1">
        <v>0.16900000000000001</v>
      </c>
      <c r="C4" s="1">
        <v>0.108</v>
      </c>
      <c r="D4" s="1">
        <v>-6.0999999999999999E-2</v>
      </c>
      <c r="E4">
        <v>410000</v>
      </c>
      <c r="F4">
        <v>3288000</v>
      </c>
      <c r="G4">
        <v>179445</v>
      </c>
      <c r="H4">
        <v>124346</v>
      </c>
      <c r="I4" s="2">
        <v>230</v>
      </c>
      <c r="J4" t="b">
        <v>1</v>
      </c>
      <c r="K4">
        <v>1201770</v>
      </c>
      <c r="L4">
        <v>1716198</v>
      </c>
      <c r="M4">
        <v>514428</v>
      </c>
      <c r="N4">
        <v>1175624</v>
      </c>
    </row>
    <row r="5" spans="1:14" x14ac:dyDescent="0.25">
      <c r="A5" t="s">
        <v>17</v>
      </c>
      <c r="B5" s="1">
        <v>0.17499999999999999</v>
      </c>
      <c r="C5" s="1">
        <v>9.5000000000000001E-2</v>
      </c>
      <c r="D5" s="3">
        <v>-0.08</v>
      </c>
      <c r="E5">
        <v>234000</v>
      </c>
      <c r="F5">
        <v>1365000</v>
      </c>
      <c r="G5">
        <v>63357</v>
      </c>
      <c r="H5">
        <v>56843</v>
      </c>
      <c r="I5" s="2">
        <v>306</v>
      </c>
      <c r="J5" t="b">
        <v>1</v>
      </c>
      <c r="K5">
        <v>556851</v>
      </c>
      <c r="L5">
        <v>920194</v>
      </c>
      <c r="M5">
        <v>363343</v>
      </c>
      <c r="N5">
        <v>606146</v>
      </c>
    </row>
    <row r="6" spans="1:14" x14ac:dyDescent="0.25">
      <c r="A6" t="s">
        <v>18</v>
      </c>
      <c r="B6" s="1">
        <v>0.185</v>
      </c>
      <c r="C6" s="1">
        <v>8.5999999999999993E-2</v>
      </c>
      <c r="D6" s="1">
        <v>-9.9000000000000005E-2</v>
      </c>
      <c r="E6">
        <v>3826000</v>
      </c>
      <c r="F6">
        <v>19552000</v>
      </c>
      <c r="G6">
        <v>1415428</v>
      </c>
      <c r="H6">
        <v>1239893</v>
      </c>
      <c r="I6" s="2">
        <v>309</v>
      </c>
      <c r="J6" t="b">
        <v>1</v>
      </c>
      <c r="K6">
        <v>7755381</v>
      </c>
      <c r="L6">
        <v>11843081</v>
      </c>
      <c r="M6">
        <v>4087700</v>
      </c>
      <c r="N6">
        <v>5829777</v>
      </c>
    </row>
    <row r="7" spans="1:14" x14ac:dyDescent="0.25">
      <c r="A7" t="s">
        <v>19</v>
      </c>
      <c r="B7" s="1">
        <v>0.159</v>
      </c>
      <c r="C7" s="1">
        <v>8.1000000000000003E-2</v>
      </c>
      <c r="D7" s="1">
        <v>-7.8E-2</v>
      </c>
      <c r="E7">
        <v>419000</v>
      </c>
      <c r="F7">
        <v>2949000</v>
      </c>
      <c r="G7">
        <v>108311</v>
      </c>
      <c r="H7">
        <v>67062</v>
      </c>
      <c r="I7" s="2">
        <v>318</v>
      </c>
      <c r="J7" t="b">
        <v>1</v>
      </c>
      <c r="K7">
        <v>783420</v>
      </c>
      <c r="L7">
        <v>1375264</v>
      </c>
      <c r="M7">
        <v>591844</v>
      </c>
      <c r="N7">
        <v>820234</v>
      </c>
    </row>
    <row r="8" spans="1:14" x14ac:dyDescent="0.25">
      <c r="A8" t="s">
        <v>20</v>
      </c>
      <c r="B8" s="1">
        <v>9.0999999999999998E-2</v>
      </c>
      <c r="C8" s="3">
        <v>0.06</v>
      </c>
      <c r="D8" s="1">
        <v>-3.1E-2</v>
      </c>
      <c r="E8">
        <v>110000</v>
      </c>
      <c r="F8">
        <v>2148000</v>
      </c>
      <c r="G8">
        <v>102917</v>
      </c>
      <c r="H8">
        <v>80759</v>
      </c>
      <c r="I8" s="2">
        <v>357</v>
      </c>
      <c r="J8" t="b">
        <v>1</v>
      </c>
      <c r="L8">
        <v>761137</v>
      </c>
      <c r="N8">
        <v>644136</v>
      </c>
    </row>
    <row r="9" spans="1:14" x14ac:dyDescent="0.25">
      <c r="A9" t="s">
        <v>21</v>
      </c>
      <c r="B9" s="1">
        <v>9.7000000000000003E-2</v>
      </c>
      <c r="C9" s="1">
        <v>5.8999999999999997E-2</v>
      </c>
      <c r="D9" s="1">
        <v>-3.7999999999999999E-2</v>
      </c>
      <c r="E9">
        <v>35000</v>
      </c>
      <c r="F9">
        <v>564000</v>
      </c>
      <c r="G9">
        <v>25379</v>
      </c>
      <c r="H9">
        <v>21467</v>
      </c>
      <c r="I9" s="2">
        <v>330</v>
      </c>
      <c r="J9" t="b">
        <v>1</v>
      </c>
      <c r="K9">
        <v>223324</v>
      </c>
      <c r="L9">
        <v>236702</v>
      </c>
      <c r="M9">
        <v>13378</v>
      </c>
      <c r="N9">
        <v>186835</v>
      </c>
    </row>
    <row r="10" spans="1:14" x14ac:dyDescent="0.25">
      <c r="A10" t="s">
        <v>22</v>
      </c>
      <c r="B10" s="1">
        <v>7.5999999999999998E-2</v>
      </c>
      <c r="C10" s="1">
        <v>3.7999999999999999E-2</v>
      </c>
      <c r="D10" s="1">
        <v>-3.7999999999999999E-2</v>
      </c>
      <c r="E10">
        <v>25000</v>
      </c>
      <c r="F10">
        <v>388000</v>
      </c>
      <c r="G10">
        <v>17666</v>
      </c>
      <c r="H10">
        <v>1224</v>
      </c>
      <c r="I10" s="2">
        <v>183</v>
      </c>
      <c r="J10" t="b">
        <v>1</v>
      </c>
      <c r="K10">
        <v>235786</v>
      </c>
      <c r="L10">
        <v>255491</v>
      </c>
      <c r="M10">
        <v>19705</v>
      </c>
      <c r="N10">
        <v>90492</v>
      </c>
    </row>
    <row r="11" spans="1:14" x14ac:dyDescent="0.25">
      <c r="A11" t="s">
        <v>23</v>
      </c>
      <c r="B11" s="1">
        <v>0.21299999999999999</v>
      </c>
      <c r="C11" s="1">
        <v>0.13300000000000001</v>
      </c>
      <c r="D11" s="3">
        <v>-0.08</v>
      </c>
      <c r="E11">
        <v>1597000</v>
      </c>
      <c r="F11">
        <v>8847000</v>
      </c>
      <c r="G11">
        <v>1531714</v>
      </c>
      <c r="H11">
        <v>1428712</v>
      </c>
      <c r="I11" s="2">
        <v>305</v>
      </c>
      <c r="J11" t="b">
        <v>0</v>
      </c>
      <c r="K11">
        <v>3104996</v>
      </c>
      <c r="L11">
        <v>3644673</v>
      </c>
      <c r="M11">
        <v>539677</v>
      </c>
      <c r="N11">
        <v>4149593</v>
      </c>
    </row>
    <row r="12" spans="1:14" x14ac:dyDescent="0.25">
      <c r="A12" t="s">
        <v>24</v>
      </c>
      <c r="B12" s="1">
        <v>0.19700000000000001</v>
      </c>
      <c r="C12" s="1">
        <v>0.13900000000000001</v>
      </c>
      <c r="D12" s="1">
        <v>-5.8000000000000003E-2</v>
      </c>
      <c r="E12">
        <v>581000</v>
      </c>
      <c r="F12">
        <v>5240000</v>
      </c>
      <c r="G12">
        <v>478016</v>
      </c>
      <c r="H12">
        <v>427353</v>
      </c>
      <c r="I12" s="2">
        <v>291</v>
      </c>
      <c r="J12" t="b">
        <v>0</v>
      </c>
      <c r="K12">
        <v>1535090</v>
      </c>
      <c r="L12">
        <v>1782301</v>
      </c>
      <c r="M12">
        <v>247211</v>
      </c>
      <c r="N12">
        <v>1574058</v>
      </c>
    </row>
    <row r="13" spans="1:14" x14ac:dyDescent="0.25">
      <c r="A13" t="s">
        <v>25</v>
      </c>
      <c r="B13" s="1">
        <v>7.9000000000000001E-2</v>
      </c>
      <c r="C13" s="3">
        <v>0.04</v>
      </c>
      <c r="D13" s="1">
        <v>-3.9E-2</v>
      </c>
      <c r="E13">
        <v>54000</v>
      </c>
      <c r="F13">
        <v>867000</v>
      </c>
      <c r="G13">
        <v>13313</v>
      </c>
      <c r="H13">
        <v>10958</v>
      </c>
      <c r="I13" s="2">
        <v>270</v>
      </c>
      <c r="J13" t="b">
        <v>1</v>
      </c>
      <c r="K13">
        <v>288357</v>
      </c>
      <c r="L13">
        <v>341200</v>
      </c>
      <c r="M13">
        <v>52843</v>
      </c>
      <c r="N13">
        <v>252514</v>
      </c>
    </row>
    <row r="14" spans="1:14" x14ac:dyDescent="0.25">
      <c r="A14" t="s">
        <v>26</v>
      </c>
      <c r="B14" s="1">
        <v>0.17699999999999999</v>
      </c>
      <c r="C14" s="3">
        <v>0.11</v>
      </c>
      <c r="D14" s="1">
        <v>-6.7000000000000004E-2</v>
      </c>
      <c r="E14">
        <v>109000</v>
      </c>
      <c r="F14">
        <v>836000</v>
      </c>
      <c r="G14">
        <v>94270</v>
      </c>
      <c r="H14">
        <v>82802</v>
      </c>
      <c r="I14" s="2">
        <v>265</v>
      </c>
      <c r="J14" t="b">
        <v>0</v>
      </c>
      <c r="K14">
        <v>238150</v>
      </c>
      <c r="L14">
        <v>293905</v>
      </c>
      <c r="M14">
        <v>55755</v>
      </c>
      <c r="N14">
        <v>294284</v>
      </c>
    </row>
    <row r="15" spans="1:14" x14ac:dyDescent="0.25">
      <c r="A15" t="s">
        <v>27</v>
      </c>
      <c r="B15" s="1">
        <v>0.13800000000000001</v>
      </c>
      <c r="C15" s="1">
        <v>7.0999999999999994E-2</v>
      </c>
      <c r="D15" s="1">
        <v>-6.7000000000000004E-2</v>
      </c>
      <c r="E15">
        <v>850000</v>
      </c>
      <c r="F15">
        <v>7359000</v>
      </c>
      <c r="G15">
        <v>335243</v>
      </c>
      <c r="H15">
        <v>259701</v>
      </c>
      <c r="I15" s="2">
        <v>237</v>
      </c>
      <c r="J15" t="b">
        <v>1</v>
      </c>
      <c r="K15">
        <v>2626943</v>
      </c>
      <c r="L15">
        <v>3117939</v>
      </c>
      <c r="M15">
        <v>490996</v>
      </c>
      <c r="N15">
        <v>2118300</v>
      </c>
    </row>
    <row r="16" spans="1:14" x14ac:dyDescent="0.25">
      <c r="A16" t="s">
        <v>28</v>
      </c>
      <c r="B16" s="1">
        <v>0.14799999999999999</v>
      </c>
      <c r="C16" s="1">
        <v>9.6000000000000002E-2</v>
      </c>
      <c r="D16" s="1">
        <v>-5.1999999999999998E-2</v>
      </c>
      <c r="E16">
        <v>339000</v>
      </c>
      <c r="F16">
        <v>3825000</v>
      </c>
      <c r="G16">
        <v>168884</v>
      </c>
      <c r="H16">
        <v>139437</v>
      </c>
      <c r="I16" s="2">
        <v>259</v>
      </c>
      <c r="J16" t="b">
        <v>1</v>
      </c>
      <c r="K16">
        <v>1120674</v>
      </c>
      <c r="L16">
        <v>1489805</v>
      </c>
      <c r="M16">
        <v>369131</v>
      </c>
      <c r="N16">
        <v>1181014</v>
      </c>
    </row>
    <row r="17" spans="1:14" x14ac:dyDescent="0.25">
      <c r="A17" t="s">
        <v>29</v>
      </c>
      <c r="B17" s="1">
        <v>9.2999999999999999E-2</v>
      </c>
      <c r="C17" s="3">
        <v>0.05</v>
      </c>
      <c r="D17" s="1">
        <v>-4.2999999999999997E-2</v>
      </c>
      <c r="E17">
        <v>132000</v>
      </c>
      <c r="F17">
        <v>1862000</v>
      </c>
      <c r="G17">
        <v>48949</v>
      </c>
      <c r="H17">
        <v>42595</v>
      </c>
      <c r="I17" s="2">
        <v>307</v>
      </c>
      <c r="J17" t="b">
        <v>1</v>
      </c>
      <c r="K17">
        <v>493515</v>
      </c>
      <c r="L17">
        <v>619055</v>
      </c>
      <c r="M17">
        <v>125540</v>
      </c>
      <c r="N17">
        <v>587780</v>
      </c>
    </row>
    <row r="18" spans="1:14" x14ac:dyDescent="0.25">
      <c r="A18" t="s">
        <v>30</v>
      </c>
      <c r="B18" s="1">
        <v>0.13900000000000001</v>
      </c>
      <c r="C18" s="1">
        <v>9.0999999999999998E-2</v>
      </c>
      <c r="D18" s="1">
        <v>-4.8000000000000001E-2</v>
      </c>
      <c r="E18">
        <v>137000</v>
      </c>
      <c r="F18">
        <v>1659000</v>
      </c>
      <c r="G18">
        <v>89566</v>
      </c>
      <c r="H18">
        <v>75815</v>
      </c>
      <c r="I18" s="2">
        <v>247</v>
      </c>
      <c r="J18" t="b">
        <v>0</v>
      </c>
      <c r="K18">
        <v>378160</v>
      </c>
      <c r="L18">
        <v>421638</v>
      </c>
      <c r="M18">
        <v>43478</v>
      </c>
      <c r="N18">
        <v>499753</v>
      </c>
    </row>
    <row r="19" spans="1:14" x14ac:dyDescent="0.25">
      <c r="A19" t="s">
        <v>31</v>
      </c>
      <c r="B19" s="1">
        <v>0.153</v>
      </c>
      <c r="C19" s="3">
        <v>0.06</v>
      </c>
      <c r="D19" s="1">
        <v>-9.2999999999999999E-2</v>
      </c>
      <c r="E19">
        <v>404000</v>
      </c>
      <c r="F19">
        <v>2316000</v>
      </c>
      <c r="G19">
        <v>74640</v>
      </c>
      <c r="H19">
        <v>56488</v>
      </c>
      <c r="I19" s="2">
        <v>258</v>
      </c>
      <c r="J19" t="b">
        <v>1</v>
      </c>
      <c r="K19">
        <v>606805</v>
      </c>
      <c r="L19">
        <v>1220788</v>
      </c>
      <c r="M19">
        <v>613983</v>
      </c>
      <c r="N19">
        <v>881938</v>
      </c>
    </row>
    <row r="20" spans="1:14" x14ac:dyDescent="0.25">
      <c r="A20" t="s">
        <v>32</v>
      </c>
      <c r="B20" s="1">
        <v>0.17799999999999999</v>
      </c>
      <c r="C20" s="1">
        <v>0.11899999999999999</v>
      </c>
      <c r="D20" s="1">
        <v>-5.8999999999999997E-2</v>
      </c>
      <c r="E20">
        <v>269000</v>
      </c>
      <c r="F20">
        <v>2295000</v>
      </c>
      <c r="G20">
        <v>184403</v>
      </c>
      <c r="H20">
        <v>170806</v>
      </c>
      <c r="I20" s="2">
        <v>362</v>
      </c>
      <c r="J20" t="b">
        <v>1</v>
      </c>
      <c r="K20">
        <v>1019787</v>
      </c>
      <c r="L20">
        <v>1328708</v>
      </c>
      <c r="M20">
        <v>308921</v>
      </c>
      <c r="N20">
        <v>817272</v>
      </c>
    </row>
    <row r="21" spans="1:14" x14ac:dyDescent="0.25">
      <c r="A21" t="s">
        <v>33</v>
      </c>
      <c r="B21" s="1">
        <v>0.10100000000000001</v>
      </c>
      <c r="C21" s="1">
        <v>8.4000000000000005E-2</v>
      </c>
      <c r="D21" s="1">
        <v>-1.7000000000000001E-2</v>
      </c>
      <c r="E21">
        <v>22000</v>
      </c>
      <c r="F21">
        <v>702000</v>
      </c>
      <c r="G21">
        <v>75240</v>
      </c>
      <c r="H21">
        <v>63896</v>
      </c>
      <c r="I21" s="2">
        <v>342</v>
      </c>
      <c r="J21" t="b">
        <v>0</v>
      </c>
      <c r="L21">
        <v>273160</v>
      </c>
      <c r="N21">
        <v>315160</v>
      </c>
    </row>
    <row r="22" spans="1:14" x14ac:dyDescent="0.25">
      <c r="A22" t="s">
        <v>34</v>
      </c>
      <c r="B22" s="1">
        <v>0.113</v>
      </c>
      <c r="C22" s="1">
        <v>6.6000000000000003E-2</v>
      </c>
      <c r="D22" s="1">
        <v>-4.7E-2</v>
      </c>
      <c r="E22">
        <v>278000</v>
      </c>
      <c r="F22">
        <v>3700000</v>
      </c>
      <c r="G22">
        <v>135208</v>
      </c>
      <c r="H22">
        <v>100844</v>
      </c>
      <c r="I22" s="2">
        <v>243</v>
      </c>
      <c r="J22" t="b">
        <v>1</v>
      </c>
      <c r="K22">
        <v>856297</v>
      </c>
      <c r="L22">
        <v>1252304</v>
      </c>
      <c r="M22">
        <v>396007</v>
      </c>
      <c r="N22">
        <v>960848</v>
      </c>
    </row>
    <row r="23" spans="1:14" x14ac:dyDescent="0.25">
      <c r="A23" t="s">
        <v>35</v>
      </c>
      <c r="B23" s="1">
        <v>4.3999999999999997E-2</v>
      </c>
      <c r="C23" s="1">
        <v>2.8000000000000001E-2</v>
      </c>
      <c r="D23" s="1">
        <v>-1.6E-2</v>
      </c>
      <c r="E23">
        <v>107000</v>
      </c>
      <c r="F23">
        <v>4232000</v>
      </c>
      <c r="G23">
        <v>207121</v>
      </c>
      <c r="H23">
        <v>157751</v>
      </c>
      <c r="I23" s="2">
        <v>190</v>
      </c>
      <c r="J23" t="b">
        <v>1</v>
      </c>
      <c r="K23">
        <v>1296359</v>
      </c>
      <c r="L23">
        <v>1684328</v>
      </c>
      <c r="M23">
        <v>387969</v>
      </c>
      <c r="N23">
        <v>1252277</v>
      </c>
    </row>
    <row r="24" spans="1:14" x14ac:dyDescent="0.25">
      <c r="A24" t="s">
        <v>36</v>
      </c>
      <c r="B24" s="1">
        <v>0.124</v>
      </c>
      <c r="C24" s="1">
        <v>6.0999999999999999E-2</v>
      </c>
      <c r="D24" s="1">
        <v>-6.3E-2</v>
      </c>
      <c r="E24">
        <v>618000</v>
      </c>
      <c r="F24">
        <v>5876000</v>
      </c>
      <c r="G24">
        <v>313123</v>
      </c>
      <c r="H24">
        <v>275080</v>
      </c>
      <c r="I24" s="2">
        <v>233</v>
      </c>
      <c r="J24" t="b">
        <v>1</v>
      </c>
      <c r="K24">
        <v>1912009</v>
      </c>
      <c r="L24">
        <v>2300958</v>
      </c>
      <c r="M24">
        <v>388949</v>
      </c>
      <c r="N24">
        <v>1947787</v>
      </c>
    </row>
    <row r="25" spans="1:14" x14ac:dyDescent="0.25">
      <c r="A25" t="s">
        <v>37</v>
      </c>
      <c r="B25" s="1">
        <v>9.0999999999999998E-2</v>
      </c>
      <c r="C25" s="1">
        <v>4.4999999999999998E-2</v>
      </c>
      <c r="D25" s="1">
        <v>-4.5999999999999999E-2</v>
      </c>
      <c r="E25">
        <v>250000</v>
      </c>
      <c r="F25">
        <v>3319000</v>
      </c>
      <c r="G25">
        <v>74060</v>
      </c>
      <c r="H25">
        <v>47266</v>
      </c>
      <c r="I25" s="2">
        <v>203</v>
      </c>
      <c r="J25" t="b">
        <v>1</v>
      </c>
      <c r="K25">
        <v>873040</v>
      </c>
      <c r="L25">
        <v>1051509</v>
      </c>
      <c r="M25">
        <v>178469</v>
      </c>
      <c r="N25">
        <v>944222</v>
      </c>
    </row>
    <row r="26" spans="1:14" x14ac:dyDescent="0.25">
      <c r="A26" t="s">
        <v>38</v>
      </c>
      <c r="B26" s="1">
        <v>0.182</v>
      </c>
      <c r="C26" s="1">
        <v>0.127</v>
      </c>
      <c r="D26" s="1">
        <v>-5.5E-2</v>
      </c>
      <c r="E26">
        <v>161000</v>
      </c>
      <c r="F26">
        <v>1326000</v>
      </c>
      <c r="G26">
        <v>77747</v>
      </c>
      <c r="H26">
        <v>73246</v>
      </c>
      <c r="I26" s="2">
        <v>306</v>
      </c>
      <c r="J26" t="b">
        <v>0</v>
      </c>
      <c r="K26">
        <v>637229</v>
      </c>
      <c r="L26">
        <v>693869</v>
      </c>
      <c r="M26">
        <v>56640</v>
      </c>
      <c r="N26">
        <v>571699</v>
      </c>
    </row>
    <row r="27" spans="1:14" x14ac:dyDescent="0.25">
      <c r="A27" t="s">
        <v>39</v>
      </c>
      <c r="B27" s="1">
        <v>0.13200000000000001</v>
      </c>
      <c r="C27" s="1">
        <v>9.8000000000000004E-2</v>
      </c>
      <c r="D27" s="1">
        <v>-3.4000000000000002E-2</v>
      </c>
      <c r="E27">
        <v>203000</v>
      </c>
      <c r="F27">
        <v>3389000</v>
      </c>
      <c r="G27">
        <v>252044</v>
      </c>
      <c r="H27">
        <v>225878</v>
      </c>
      <c r="I27" s="2">
        <v>315</v>
      </c>
      <c r="J27" t="b">
        <v>0</v>
      </c>
      <c r="K27">
        <v>846084</v>
      </c>
      <c r="L27">
        <v>967284</v>
      </c>
      <c r="M27">
        <v>121200</v>
      </c>
      <c r="N27">
        <v>1163543</v>
      </c>
    </row>
    <row r="28" spans="1:14" x14ac:dyDescent="0.25">
      <c r="A28" t="s">
        <v>40</v>
      </c>
      <c r="B28" s="1">
        <v>0.17299999999999999</v>
      </c>
      <c r="C28" s="1">
        <v>0.11600000000000001</v>
      </c>
      <c r="D28" s="1">
        <v>-5.7000000000000002E-2</v>
      </c>
      <c r="E28">
        <v>58000</v>
      </c>
      <c r="F28">
        <v>510000</v>
      </c>
      <c r="G28">
        <v>51758</v>
      </c>
      <c r="H28">
        <v>44091</v>
      </c>
      <c r="I28" s="2">
        <v>306</v>
      </c>
      <c r="J28" t="b">
        <v>1</v>
      </c>
      <c r="K28">
        <v>148974</v>
      </c>
      <c r="L28">
        <v>224048</v>
      </c>
      <c r="M28">
        <v>75074</v>
      </c>
      <c r="N28">
        <v>209389</v>
      </c>
    </row>
    <row r="29" spans="1:14" x14ac:dyDescent="0.25">
      <c r="A29" t="s">
        <v>41</v>
      </c>
      <c r="B29" s="1">
        <v>0.115</v>
      </c>
      <c r="C29" s="1">
        <v>8.2000000000000003E-2</v>
      </c>
      <c r="D29" s="1">
        <v>-3.3000000000000002E-2</v>
      </c>
      <c r="E29">
        <v>62000</v>
      </c>
      <c r="F29">
        <v>1100000</v>
      </c>
      <c r="G29">
        <v>80213</v>
      </c>
      <c r="H29">
        <v>72091</v>
      </c>
      <c r="I29" s="2">
        <v>296</v>
      </c>
      <c r="J29" t="b">
        <v>0</v>
      </c>
      <c r="K29">
        <v>244600</v>
      </c>
      <c r="L29">
        <v>242702</v>
      </c>
      <c r="M29">
        <v>-1898</v>
      </c>
      <c r="N29">
        <v>322796</v>
      </c>
    </row>
    <row r="30" spans="1:14" x14ac:dyDescent="0.25">
      <c r="A30" t="s">
        <v>42</v>
      </c>
      <c r="B30" s="1">
        <v>0.22600000000000001</v>
      </c>
      <c r="C30" s="1">
        <v>0.123</v>
      </c>
      <c r="D30" s="1">
        <v>-0.10299999999999999</v>
      </c>
      <c r="E30">
        <v>294000</v>
      </c>
      <c r="F30">
        <v>1505000</v>
      </c>
      <c r="G30">
        <v>79876</v>
      </c>
      <c r="H30">
        <v>71472</v>
      </c>
      <c r="I30" s="2">
        <v>268</v>
      </c>
      <c r="J30" t="b">
        <v>1</v>
      </c>
      <c r="K30">
        <v>332560</v>
      </c>
      <c r="L30">
        <v>614298</v>
      </c>
      <c r="M30">
        <v>281738</v>
      </c>
      <c r="N30">
        <v>471747</v>
      </c>
    </row>
    <row r="31" spans="1:14" x14ac:dyDescent="0.25">
      <c r="A31" t="s">
        <v>43</v>
      </c>
      <c r="B31" s="1">
        <v>0.111</v>
      </c>
      <c r="C31" s="1">
        <v>6.3E-2</v>
      </c>
      <c r="D31" s="1">
        <v>-4.8000000000000001E-2</v>
      </c>
      <c r="E31">
        <v>63000</v>
      </c>
      <c r="F31">
        <v>853000</v>
      </c>
      <c r="G31">
        <v>49114</v>
      </c>
      <c r="H31">
        <v>31151</v>
      </c>
      <c r="I31" s="2">
        <v>261</v>
      </c>
      <c r="J31" t="b">
        <v>1</v>
      </c>
      <c r="K31">
        <v>127082</v>
      </c>
      <c r="L31">
        <v>189429</v>
      </c>
      <c r="M31">
        <v>62347</v>
      </c>
      <c r="N31">
        <v>275803</v>
      </c>
    </row>
    <row r="32" spans="1:14" x14ac:dyDescent="0.25">
      <c r="A32" t="s">
        <v>44</v>
      </c>
      <c r="B32" s="1">
        <v>0.13200000000000001</v>
      </c>
      <c r="C32" s="1">
        <v>8.6999999999999994E-2</v>
      </c>
      <c r="D32" s="1">
        <v>-4.4999999999999998E-2</v>
      </c>
      <c r="E32">
        <v>398000</v>
      </c>
      <c r="F32">
        <v>5450000</v>
      </c>
      <c r="G32">
        <v>249395</v>
      </c>
      <c r="H32">
        <v>205242</v>
      </c>
      <c r="I32" s="2">
        <v>322</v>
      </c>
      <c r="J32" t="b">
        <v>1</v>
      </c>
      <c r="K32">
        <v>1283851</v>
      </c>
      <c r="L32">
        <v>1784529</v>
      </c>
      <c r="M32">
        <v>500678</v>
      </c>
      <c r="N32">
        <v>1528961</v>
      </c>
    </row>
    <row r="33" spans="1:14" x14ac:dyDescent="0.25">
      <c r="A33" t="s">
        <v>45</v>
      </c>
      <c r="B33" s="1">
        <v>0.19600000000000001</v>
      </c>
      <c r="C33" s="1">
        <v>0.109</v>
      </c>
      <c r="D33" s="1">
        <v>-8.6999999999999994E-2</v>
      </c>
      <c r="E33">
        <v>178000</v>
      </c>
      <c r="F33">
        <v>884000</v>
      </c>
      <c r="G33">
        <v>47497</v>
      </c>
      <c r="H33">
        <v>32703</v>
      </c>
      <c r="I33" s="2">
        <v>212</v>
      </c>
      <c r="J33" t="b">
        <v>1</v>
      </c>
      <c r="K33">
        <v>457678</v>
      </c>
      <c r="L33">
        <v>766732</v>
      </c>
      <c r="M33">
        <v>309054</v>
      </c>
      <c r="N33">
        <v>385918</v>
      </c>
    </row>
    <row r="34" spans="1:14" x14ac:dyDescent="0.25">
      <c r="A34" t="s">
        <v>46</v>
      </c>
      <c r="B34" s="1">
        <v>0.11899999999999999</v>
      </c>
      <c r="C34" s="1">
        <v>7.0999999999999994E-2</v>
      </c>
      <c r="D34" s="1">
        <v>-4.8000000000000001E-2</v>
      </c>
      <c r="E34">
        <v>939000</v>
      </c>
      <c r="F34">
        <v>10895000</v>
      </c>
      <c r="G34">
        <v>224014</v>
      </c>
      <c r="H34">
        <v>123830</v>
      </c>
      <c r="I34" s="2">
        <v>178</v>
      </c>
      <c r="J34" t="b">
        <v>1</v>
      </c>
      <c r="K34">
        <v>5678417</v>
      </c>
      <c r="L34">
        <v>6431165</v>
      </c>
      <c r="M34">
        <v>752748</v>
      </c>
      <c r="N34">
        <v>3424666</v>
      </c>
    </row>
    <row r="35" spans="1:14" x14ac:dyDescent="0.25">
      <c r="A35" t="s">
        <v>47</v>
      </c>
      <c r="B35" s="1">
        <v>0.16800000000000001</v>
      </c>
      <c r="C35" s="1">
        <v>0.112</v>
      </c>
      <c r="D35" s="1">
        <v>-5.6000000000000001E-2</v>
      </c>
      <c r="E35">
        <v>552000</v>
      </c>
      <c r="F35">
        <v>4934000</v>
      </c>
      <c r="G35">
        <v>545354</v>
      </c>
      <c r="H35">
        <v>499178</v>
      </c>
      <c r="I35" s="2">
        <v>401</v>
      </c>
      <c r="J35" t="b">
        <v>0</v>
      </c>
      <c r="K35">
        <v>1595952</v>
      </c>
      <c r="L35">
        <v>2072282</v>
      </c>
      <c r="M35">
        <v>476330</v>
      </c>
      <c r="N35">
        <v>1823454</v>
      </c>
    </row>
    <row r="36" spans="1:14" x14ac:dyDescent="0.25">
      <c r="A36" t="s">
        <v>48</v>
      </c>
      <c r="B36" s="1">
        <v>9.8000000000000004E-2</v>
      </c>
      <c r="C36" s="1">
        <v>7.8E-2</v>
      </c>
      <c r="D36" s="3">
        <v>-0.02</v>
      </c>
      <c r="E36">
        <v>15000</v>
      </c>
      <c r="F36">
        <v>450000</v>
      </c>
      <c r="G36">
        <v>20536</v>
      </c>
      <c r="H36">
        <v>17630</v>
      </c>
      <c r="I36" s="2">
        <v>262</v>
      </c>
      <c r="J36" t="b">
        <v>1</v>
      </c>
      <c r="K36">
        <v>69980</v>
      </c>
      <c r="L36">
        <v>89763</v>
      </c>
      <c r="M36">
        <v>19783</v>
      </c>
      <c r="N36">
        <v>122294</v>
      </c>
    </row>
    <row r="37" spans="1:14" x14ac:dyDescent="0.25">
      <c r="A37" t="s">
        <v>49</v>
      </c>
      <c r="B37" s="1">
        <v>0.123</v>
      </c>
      <c r="C37" s="1">
        <v>6.5000000000000002E-2</v>
      </c>
      <c r="D37" s="1">
        <v>-5.8000000000000003E-2</v>
      </c>
      <c r="E37">
        <v>664000</v>
      </c>
      <c r="F37">
        <v>6831000</v>
      </c>
      <c r="G37">
        <v>212046</v>
      </c>
      <c r="H37">
        <v>174448</v>
      </c>
      <c r="I37" s="2">
        <v>250</v>
      </c>
      <c r="J37" t="b">
        <v>1</v>
      </c>
      <c r="K37">
        <v>2341481</v>
      </c>
      <c r="L37">
        <v>3003170</v>
      </c>
      <c r="M37">
        <v>661689</v>
      </c>
      <c r="N37">
        <v>2208504</v>
      </c>
    </row>
    <row r="38" spans="1:14" x14ac:dyDescent="0.25">
      <c r="A38" t="s">
        <v>50</v>
      </c>
      <c r="B38" s="1">
        <v>0.189</v>
      </c>
      <c r="C38" s="1">
        <v>0.13900000000000001</v>
      </c>
      <c r="D38" s="3">
        <v>-0.05</v>
      </c>
      <c r="E38">
        <v>192000</v>
      </c>
      <c r="F38">
        <v>1948000</v>
      </c>
      <c r="G38">
        <v>130178</v>
      </c>
      <c r="H38">
        <v>113209</v>
      </c>
      <c r="I38" s="2">
        <v>298</v>
      </c>
      <c r="J38" t="b">
        <v>0</v>
      </c>
      <c r="K38">
        <v>790051</v>
      </c>
      <c r="L38">
        <v>788544</v>
      </c>
      <c r="M38">
        <v>-1507</v>
      </c>
      <c r="N38">
        <v>693677</v>
      </c>
    </row>
    <row r="39" spans="1:14" x14ac:dyDescent="0.25">
      <c r="A39" t="s">
        <v>51</v>
      </c>
      <c r="B39" s="1">
        <v>0.17100000000000001</v>
      </c>
      <c r="C39" s="3">
        <v>7.0000000000000007E-2</v>
      </c>
      <c r="D39" s="1">
        <v>-0.10100000000000001</v>
      </c>
      <c r="E39">
        <v>403000</v>
      </c>
      <c r="F39">
        <v>2070000</v>
      </c>
      <c r="G39">
        <v>131167</v>
      </c>
      <c r="H39">
        <v>95507</v>
      </c>
      <c r="I39" s="2">
        <v>253</v>
      </c>
      <c r="J39" t="b">
        <v>1</v>
      </c>
      <c r="K39">
        <v>626356</v>
      </c>
      <c r="L39">
        <v>1021862</v>
      </c>
      <c r="M39">
        <v>395506</v>
      </c>
      <c r="N39">
        <v>784032</v>
      </c>
    </row>
    <row r="40" spans="1:14" x14ac:dyDescent="0.25">
      <c r="A40" t="s">
        <v>52</v>
      </c>
      <c r="B40" s="1">
        <v>0.10199999999999999</v>
      </c>
      <c r="C40" s="1">
        <v>6.4000000000000001E-2</v>
      </c>
      <c r="D40" s="1">
        <v>-3.7999999999999999E-2</v>
      </c>
      <c r="E40">
        <v>479000</v>
      </c>
      <c r="F40">
        <v>7502000</v>
      </c>
      <c r="G40">
        <v>412347</v>
      </c>
      <c r="H40">
        <v>321345</v>
      </c>
      <c r="I40" s="2">
        <v>248</v>
      </c>
      <c r="J40" t="b">
        <v>1</v>
      </c>
      <c r="K40">
        <v>2386046</v>
      </c>
      <c r="L40">
        <v>2883114</v>
      </c>
      <c r="M40">
        <v>497068</v>
      </c>
      <c r="N40">
        <v>2588577</v>
      </c>
    </row>
    <row r="41" spans="1:14" x14ac:dyDescent="0.25">
      <c r="A41" t="s">
        <v>53</v>
      </c>
      <c r="B41" s="1">
        <v>0.122</v>
      </c>
      <c r="C41" s="1">
        <v>5.7000000000000002E-2</v>
      </c>
      <c r="D41" s="1">
        <v>-6.5000000000000002E-2</v>
      </c>
      <c r="E41">
        <v>68000</v>
      </c>
      <c r="F41">
        <v>597000</v>
      </c>
      <c r="G41">
        <v>35583</v>
      </c>
      <c r="H41">
        <v>30015</v>
      </c>
      <c r="I41" s="2">
        <v>250</v>
      </c>
      <c r="J41" t="b">
        <v>1</v>
      </c>
      <c r="K41">
        <v>190833</v>
      </c>
      <c r="L41">
        <v>287173</v>
      </c>
      <c r="M41">
        <v>96340</v>
      </c>
      <c r="N41">
        <v>208324</v>
      </c>
    </row>
    <row r="42" spans="1:14" x14ac:dyDescent="0.25">
      <c r="A42" t="s">
        <v>54</v>
      </c>
      <c r="B42" s="1">
        <v>0.17499999999999999</v>
      </c>
      <c r="C42" s="1">
        <v>0.109</v>
      </c>
      <c r="D42" s="1">
        <v>-6.6000000000000003E-2</v>
      </c>
      <c r="E42">
        <v>317000</v>
      </c>
      <c r="F42">
        <v>2487000</v>
      </c>
      <c r="G42">
        <v>204846</v>
      </c>
      <c r="H42">
        <v>186345</v>
      </c>
      <c r="I42" s="2">
        <v>312</v>
      </c>
      <c r="J42" t="b">
        <v>0</v>
      </c>
      <c r="K42">
        <v>889744</v>
      </c>
      <c r="L42">
        <v>994804</v>
      </c>
      <c r="M42">
        <v>105060</v>
      </c>
      <c r="N42">
        <v>974114</v>
      </c>
    </row>
    <row r="43" spans="1:14" x14ac:dyDescent="0.25">
      <c r="A43" t="s">
        <v>55</v>
      </c>
      <c r="B43" s="1">
        <v>0.124</v>
      </c>
      <c r="C43" s="1">
        <v>0.10199999999999999</v>
      </c>
      <c r="D43" s="1">
        <v>-2.1999999999999999E-2</v>
      </c>
      <c r="E43">
        <v>19000</v>
      </c>
      <c r="F43">
        <v>449000</v>
      </c>
      <c r="G43">
        <v>24578</v>
      </c>
      <c r="H43">
        <v>22005</v>
      </c>
      <c r="I43" s="2">
        <v>307</v>
      </c>
      <c r="J43" t="b">
        <v>0</v>
      </c>
      <c r="K43">
        <v>115501</v>
      </c>
      <c r="L43">
        <v>119835</v>
      </c>
      <c r="M43">
        <v>4334</v>
      </c>
      <c r="N43">
        <v>161464</v>
      </c>
    </row>
    <row r="44" spans="1:14" x14ac:dyDescent="0.25">
      <c r="A44" t="s">
        <v>56</v>
      </c>
      <c r="B44" s="1">
        <v>0.14399999999999999</v>
      </c>
      <c r="C44" s="1">
        <v>0.10299999999999999</v>
      </c>
      <c r="D44" s="1">
        <v>-4.1000000000000002E-2</v>
      </c>
      <c r="E44">
        <v>266000</v>
      </c>
      <c r="F44">
        <v>3369000</v>
      </c>
      <c r="G44">
        <v>231705</v>
      </c>
      <c r="H44">
        <v>203112</v>
      </c>
      <c r="I44" s="2">
        <v>299</v>
      </c>
      <c r="J44" t="b">
        <v>0</v>
      </c>
      <c r="K44">
        <v>1244516</v>
      </c>
      <c r="L44">
        <v>1627100</v>
      </c>
      <c r="M44">
        <v>382584</v>
      </c>
      <c r="N44">
        <v>1266920</v>
      </c>
    </row>
    <row r="45" spans="1:14" x14ac:dyDescent="0.25">
      <c r="A45" t="s">
        <v>57</v>
      </c>
      <c r="B45" s="1">
        <v>0.23699999999999999</v>
      </c>
      <c r="C45" s="1">
        <v>0.17100000000000001</v>
      </c>
      <c r="D45" s="1">
        <v>-6.6000000000000003E-2</v>
      </c>
      <c r="E45">
        <v>1781000</v>
      </c>
      <c r="F45">
        <v>13709000</v>
      </c>
      <c r="G45">
        <v>1092650</v>
      </c>
      <c r="H45">
        <v>913177</v>
      </c>
      <c r="I45" s="2">
        <v>271</v>
      </c>
      <c r="J45" t="b">
        <v>0</v>
      </c>
      <c r="K45">
        <v>4441605</v>
      </c>
      <c r="L45">
        <v>4770229</v>
      </c>
      <c r="M45">
        <v>328624</v>
      </c>
      <c r="N45">
        <v>3765946</v>
      </c>
    </row>
    <row r="46" spans="1:14" x14ac:dyDescent="0.25">
      <c r="A46" t="s">
        <v>58</v>
      </c>
      <c r="B46" s="1">
        <v>0.153</v>
      </c>
      <c r="C46" s="1">
        <v>0.105</v>
      </c>
      <c r="D46" s="1">
        <v>-4.8000000000000001E-2</v>
      </c>
      <c r="E46">
        <v>143000</v>
      </c>
      <c r="F46">
        <v>1897000</v>
      </c>
      <c r="G46">
        <v>164415</v>
      </c>
      <c r="H46">
        <v>145288</v>
      </c>
      <c r="I46" s="2">
        <v>187</v>
      </c>
      <c r="J46" t="b">
        <v>0</v>
      </c>
      <c r="K46">
        <v>294029</v>
      </c>
      <c r="L46">
        <v>314182</v>
      </c>
      <c r="M46">
        <v>20153</v>
      </c>
      <c r="N46">
        <v>358887</v>
      </c>
    </row>
    <row r="47" spans="1:14" x14ac:dyDescent="0.25">
      <c r="A47" t="s">
        <v>59</v>
      </c>
      <c r="B47" s="3">
        <v>0.08</v>
      </c>
      <c r="C47" s="1">
        <v>3.7999999999999999E-2</v>
      </c>
      <c r="D47" s="1">
        <v>-4.2000000000000003E-2</v>
      </c>
      <c r="E47">
        <v>26000</v>
      </c>
      <c r="F47">
        <v>345000</v>
      </c>
      <c r="G47">
        <v>27883</v>
      </c>
      <c r="H47">
        <v>19575</v>
      </c>
      <c r="I47" s="2">
        <v>300</v>
      </c>
      <c r="J47" t="b">
        <v>1</v>
      </c>
      <c r="K47">
        <v>161081</v>
      </c>
      <c r="L47">
        <v>175597</v>
      </c>
      <c r="M47">
        <v>14516</v>
      </c>
      <c r="N47">
        <v>136021</v>
      </c>
    </row>
    <row r="48" spans="1:14" x14ac:dyDescent="0.25">
      <c r="A48" t="s">
        <v>60</v>
      </c>
      <c r="B48" s="1">
        <v>0.13100000000000001</v>
      </c>
      <c r="C48" s="1">
        <v>9.0999999999999998E-2</v>
      </c>
      <c r="D48" s="3">
        <v>-0.04</v>
      </c>
      <c r="E48">
        <v>327000</v>
      </c>
      <c r="F48">
        <v>4850000</v>
      </c>
      <c r="G48">
        <v>378838</v>
      </c>
      <c r="H48">
        <v>319068</v>
      </c>
      <c r="I48" s="2">
        <v>276</v>
      </c>
      <c r="J48" t="b">
        <v>0</v>
      </c>
      <c r="K48">
        <v>935434</v>
      </c>
      <c r="L48">
        <v>988821</v>
      </c>
      <c r="M48">
        <v>53387</v>
      </c>
      <c r="N48">
        <v>1392261</v>
      </c>
    </row>
    <row r="49" spans="1:14" x14ac:dyDescent="0.25">
      <c r="A49" t="s">
        <v>61</v>
      </c>
      <c r="B49" s="1">
        <v>0.14199999999999999</v>
      </c>
      <c r="C49" s="1">
        <v>6.6000000000000003E-2</v>
      </c>
      <c r="D49" s="1">
        <v>-7.5999999999999998E-2</v>
      </c>
      <c r="E49">
        <v>537000</v>
      </c>
      <c r="F49">
        <v>3986000</v>
      </c>
      <c r="G49">
        <v>158245</v>
      </c>
      <c r="H49">
        <v>110476</v>
      </c>
      <c r="I49" s="2">
        <v>238</v>
      </c>
      <c r="J49" t="b">
        <v>1</v>
      </c>
      <c r="K49">
        <v>1117576</v>
      </c>
      <c r="L49">
        <v>1788536</v>
      </c>
      <c r="M49">
        <v>670960</v>
      </c>
      <c r="N49">
        <v>1238649</v>
      </c>
    </row>
    <row r="50" spans="1:14" x14ac:dyDescent="0.25">
      <c r="A50" t="s">
        <v>62</v>
      </c>
      <c r="B50" s="1">
        <v>0.14599999999999999</v>
      </c>
      <c r="C50" s="3">
        <v>0.06</v>
      </c>
      <c r="D50" s="1">
        <v>-8.5999999999999993E-2</v>
      </c>
      <c r="E50">
        <v>156000</v>
      </c>
      <c r="F50">
        <v>976000</v>
      </c>
      <c r="G50">
        <v>33235</v>
      </c>
      <c r="H50">
        <v>29163</v>
      </c>
      <c r="I50" s="2">
        <v>388</v>
      </c>
      <c r="J50" t="b">
        <v>1</v>
      </c>
      <c r="K50">
        <v>354544</v>
      </c>
      <c r="L50">
        <v>575645</v>
      </c>
      <c r="M50">
        <v>221101</v>
      </c>
      <c r="N50">
        <v>423500</v>
      </c>
    </row>
    <row r="51" spans="1:14" x14ac:dyDescent="0.25">
      <c r="A51" t="s">
        <v>63</v>
      </c>
      <c r="B51" s="1">
        <v>9.4E-2</v>
      </c>
      <c r="C51" s="1">
        <v>5.7000000000000002E-2</v>
      </c>
      <c r="D51" s="1">
        <v>-3.6999999999999998E-2</v>
      </c>
      <c r="E51">
        <v>211000</v>
      </c>
      <c r="F51">
        <v>3521000</v>
      </c>
      <c r="G51">
        <v>224208</v>
      </c>
      <c r="H51">
        <v>190542</v>
      </c>
      <c r="I51" s="2">
        <v>332</v>
      </c>
      <c r="J51" t="b">
        <v>0</v>
      </c>
      <c r="K51">
        <v>985531</v>
      </c>
      <c r="L51">
        <v>1046897</v>
      </c>
      <c r="M51">
        <v>61366</v>
      </c>
      <c r="N51">
        <v>1084854</v>
      </c>
    </row>
    <row r="52" spans="1:14" x14ac:dyDescent="0.25">
      <c r="A52" t="s">
        <v>64</v>
      </c>
      <c r="B52" s="1">
        <v>0.14899999999999999</v>
      </c>
      <c r="C52" s="1">
        <v>0.115</v>
      </c>
      <c r="D52" s="1">
        <v>-3.4000000000000002E-2</v>
      </c>
      <c r="E52">
        <v>20000</v>
      </c>
      <c r="F52">
        <v>335000</v>
      </c>
      <c r="G52">
        <v>22076</v>
      </c>
      <c r="H52">
        <v>20313</v>
      </c>
      <c r="I52" s="2">
        <v>459</v>
      </c>
      <c r="J52" t="b">
        <v>0</v>
      </c>
      <c r="K52">
        <v>67518</v>
      </c>
      <c r="L52">
        <v>63583</v>
      </c>
      <c r="M52">
        <v>-3935</v>
      </c>
      <c r="N52">
        <v>99128</v>
      </c>
    </row>
    <row r="53" spans="1:14" x14ac:dyDescent="0.25">
      <c r="A53" t="s">
        <v>65</v>
      </c>
      <c r="B53" s="1">
        <v>0.155</v>
      </c>
      <c r="C53" s="1">
        <v>9.4E-2</v>
      </c>
      <c r="D53" s="1">
        <v>6.0999999999999999E-2</v>
      </c>
      <c r="E53">
        <v>19304000</v>
      </c>
      <c r="F53">
        <v>172292000</v>
      </c>
      <c r="G53">
        <v>11081330</v>
      </c>
      <c r="H53">
        <v>9389609</v>
      </c>
      <c r="I53" s="2">
        <v>291</v>
      </c>
      <c r="K53">
        <v>56392477</v>
      </c>
      <c r="L53">
        <v>73532931</v>
      </c>
      <c r="M53">
        <v>16106157</v>
      </c>
      <c r="N53">
        <v>57149984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Sheet3</vt:lpstr>
      <vt:lpstr>Sheet4</vt:lpstr>
      <vt:lpstr>Sheet5</vt:lpstr>
      <vt:lpstr>Sheet6</vt:lpstr>
      <vt:lpstr>Sheet7</vt:lpstr>
      <vt:lpstr>Sheet8</vt:lpstr>
      <vt:lpstr>Health Insurrance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2025-11-06T20:56:53Z</dcterms:created>
  <dcterms:modified xsi:type="dcterms:W3CDTF">2025-11-28T06:33:04Z</dcterms:modified>
</cp:coreProperties>
</file>